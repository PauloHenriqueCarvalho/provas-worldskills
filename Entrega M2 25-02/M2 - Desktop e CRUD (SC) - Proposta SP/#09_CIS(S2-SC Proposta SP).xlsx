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Meu Drive\Olimpíada do Conhecimento\#09 Soluções de Software Para Negócio\0 - Execução Proposta Nacional 2025\Proposta Alteração SP\M2 - Desktop e CRUD (SC) - Proposta SP\"/>
    </mc:Choice>
  </mc:AlternateContent>
  <xr:revisionPtr revIDLastSave="0" documentId="13_ncr:1_{30E629A7-2D87-41FE-85A1-D4ABB80DF4E6}" xr6:coauthVersionLast="47" xr6:coauthVersionMax="47" xr10:uidLastSave="{00000000-0000-0000-0000-000000000000}"/>
  <bookViews>
    <workbookView xWindow="-108" yWindow="-108" windowWidth="23256" windowHeight="12456" xr2:uid="{00000000-000D-0000-FFFF-FFFF00000000}"/>
  </bookViews>
  <sheets>
    <sheet name="CIS Marking Scheme Import" sheetId="1" r:id="rId1"/>
    <sheet name="Calcula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w1qfON/idALK87rhobHw22F/u71+xobrRh6LchLFwH8="/>
    </ext>
  </extLst>
</workbook>
</file>

<file path=xl/calcChain.xml><?xml version="1.0" encoding="utf-8"?>
<calcChain xmlns="http://schemas.openxmlformats.org/spreadsheetml/2006/main">
  <c r="I5" i="1" l="1"/>
  <c r="O25" i="1"/>
  <c r="N25" i="1" l="1"/>
  <c r="I10" i="1"/>
  <c r="K10" i="1" s="1"/>
  <c r="I9" i="1"/>
  <c r="K9" i="1" s="1"/>
  <c r="I8" i="1"/>
  <c r="K8" i="1" s="1"/>
  <c r="I7" i="1"/>
  <c r="K7" i="1" s="1"/>
  <c r="I6" i="1"/>
  <c r="K6" i="1" s="1"/>
  <c r="K5" i="1"/>
  <c r="P25" i="1" l="1"/>
  <c r="N141" i="1"/>
  <c r="K11" i="1"/>
</calcChain>
</file>

<file path=xl/sharedStrings.xml><?xml version="1.0" encoding="utf-8"?>
<sst xmlns="http://schemas.openxmlformats.org/spreadsheetml/2006/main" count="185" uniqueCount="161">
  <si>
    <t>#09 Soluções de Software para Negócios</t>
  </si>
  <si>
    <t>WorldSkills Occupational Standards</t>
  </si>
  <si>
    <t>Section</t>
  </si>
  <si>
    <t>WSOS Marks</t>
  </si>
  <si>
    <t>Aspect Marks</t>
  </si>
  <si>
    <t>Variation</t>
  </si>
  <si>
    <t xml:space="preserve">Preparação e organização do trabalho  </t>
  </si>
  <si>
    <t xml:space="preserve">Comunicação e relacionamento interpessoal </t>
  </si>
  <si>
    <t xml:space="preserve">Solução de problemas, inovação e criatividade  </t>
  </si>
  <si>
    <t xml:space="preserve">Análise e design de soluções de software  </t>
  </si>
  <si>
    <t xml:space="preserve">Desenvolvimento de soluções de software </t>
  </si>
  <si>
    <t>Teste de soluções de software</t>
  </si>
  <si>
    <t>Total Variation</t>
  </si>
  <si>
    <t>Criteria</t>
  </si>
  <si>
    <t>ID</t>
  </si>
  <si>
    <t>Name</t>
  </si>
  <si>
    <t>Mark</t>
  </si>
  <si>
    <t>A</t>
  </si>
  <si>
    <t>Desktop + Documentação</t>
  </si>
  <si>
    <t>B</t>
  </si>
  <si>
    <t>Desktop + Crud</t>
  </si>
  <si>
    <t>C</t>
  </si>
  <si>
    <t>Mobile</t>
  </si>
  <si>
    <t>D</t>
  </si>
  <si>
    <t xml:space="preserve">Desktop + Dashboard </t>
  </si>
  <si>
    <t>E</t>
  </si>
  <si>
    <t xml:space="preserve">Desktop + Teste </t>
  </si>
  <si>
    <t>F</t>
  </si>
  <si>
    <t>G</t>
  </si>
  <si>
    <t>Documentação + Teste</t>
  </si>
  <si>
    <t>H</t>
  </si>
  <si>
    <t>I</t>
  </si>
  <si>
    <t>Pontos Alterados</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</si>
  <si>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</si>
  <si>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</si>
  <si>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</si>
  <si>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</si>
  <si>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</si>
  <si>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</si>
  <si>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</si>
  <si>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</si>
  <si>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</si>
  <si>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</si>
  <si>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</si>
  <si>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B</t>
  </si>
  <si>
    <t>Total
Mark</t>
  </si>
  <si>
    <t>B1</t>
  </si>
  <si>
    <t>Preparação e organização do trabalho - Desktop + Crud</t>
  </si>
  <si>
    <t>M</t>
  </si>
  <si>
    <t>Entrega correta de todas as tarefas</t>
  </si>
  <si>
    <t>Descontar 0,1 para cada entrega faltando</t>
  </si>
  <si>
    <t>B2</t>
  </si>
  <si>
    <t>Comunicação e relacionamento interpessoal - Desktop + Crud</t>
  </si>
  <si>
    <t>Design geral da interface do usuário</t>
  </si>
  <si>
    <t>Adicionar 0,1 se usou o logo da aplicação conforme guia de estilos</t>
  </si>
  <si>
    <t>Adicionar 0,2 se aplicou as cores harmonicamente em todas as telas</t>
  </si>
  <si>
    <t>Adicionar 0,1 se usou a fonte em todas as telas</t>
  </si>
  <si>
    <t>Adicionar 0,1 se objetos dispostos harmonicamente na tela</t>
  </si>
  <si>
    <t>B3</t>
  </si>
  <si>
    <t>Solução de problemas, inovação e criatividade - Desktop + Crud</t>
  </si>
  <si>
    <t>Cadastro de usuário</t>
  </si>
  <si>
    <t>Adicionar 0,2 se os campos do cadastro alteram de acordo com o perfil selecionado</t>
  </si>
  <si>
    <t>Adicionar 0,1 se não permite cadastrar fornecedor quando seu CNPJ não possuir exatamente 14 dígitos numéricos</t>
  </si>
  <si>
    <t>Adicionar 0,1 se não permite cadastrar cliente quando seu CPF não possuir exatamente 11 dígitos numéricos</t>
  </si>
  <si>
    <t>Adicionar 0,1 se não permite cadastrar cliente que seja menor que 18 anos</t>
  </si>
  <si>
    <t>Adicionar 0,1 se não permite cadastrar usuário quando algum campo não foi preenchido</t>
  </si>
  <si>
    <t>Adicionar 0,2 se não permite cadastrar usuário quando a senha e confirmação não são iguais</t>
  </si>
  <si>
    <t>Adicionar 0,1 se a mudança de perfil de cadastro reflete na mesma tela os campos</t>
  </si>
  <si>
    <t>B4</t>
  </si>
  <si>
    <t>Análise e design de soluções de software -  Desktop + Crud</t>
  </si>
  <si>
    <t>B5</t>
  </si>
  <si>
    <t>Desenvolvimento de soluções de software  - Desktop + Crud</t>
  </si>
  <si>
    <t>Login</t>
  </si>
  <si>
    <t>Adicionar 0,25 se passou no login com perfil de fornecedor e redirecionou para tela correta</t>
  </si>
  <si>
    <t>Adicionar 0,25 se passou no login com perfil de cliente e redirecionou para tela correta</t>
  </si>
  <si>
    <t>Adicionar 0,2 se impediu o login com usuário inexistente</t>
  </si>
  <si>
    <t>Adicionar 0,2 se impediu o login com senha incorreta</t>
  </si>
  <si>
    <t>Adicionar 0,1 se ao digitar a senha ela não é exibida em texto legível</t>
  </si>
  <si>
    <t>Lista solicitação produto</t>
  </si>
  <si>
    <t>Adicionar 0,2 se apresentou o status Faltando mais que 7 dias para o vencimento em verde</t>
  </si>
  <si>
    <t>Lista solicitação produto - Ordenar</t>
  </si>
  <si>
    <t>Adicionar 0,15 se é possível ordenar “Mais Antigas”</t>
  </si>
  <si>
    <t>Adicionar 0,15 se é possível ordenar “Mais Recentes”</t>
  </si>
  <si>
    <t>Adicionar 0,15 se é possível ordenar “Contém Mais Produtos”</t>
  </si>
  <si>
    <t>Adicionar 0,15 se é possível ordenar “Contém Menos Produtos”</t>
  </si>
  <si>
    <t>Inserir Nova Solicitação</t>
  </si>
  <si>
    <t>Adicionar 0,2 se permitiu adicionar a quantidade de produtos (Descontar 0,1 se não validou a quantidade de produtos que o fornecedor tem disponível)</t>
  </si>
  <si>
    <t>Adicionar 0,2 se apresentou uma listagem com os detalhes dos produtos adicionados</t>
  </si>
  <si>
    <t>Editar / Remover Solicitação</t>
  </si>
  <si>
    <t>Adicionar 0,1 se o título da modal altera de acordo com a ação Editar/Inserir</t>
  </si>
  <si>
    <t>Adicionar 0,2 se permitiu editar a solicitação</t>
  </si>
  <si>
    <t>Adicionar 0,2 se permitiu remover a solicitação</t>
  </si>
  <si>
    <t>Adicionar 0,4 se os campos do cadastro alteram de acordo com o perfil selecionado</t>
  </si>
  <si>
    <t>Lista de produtos</t>
  </si>
  <si>
    <t>Adicionar 0,15 se a tabela possui todas as colunas solicitadas</t>
  </si>
  <si>
    <t>Adcionar 0,15 se permite ordenar pelo Nome</t>
  </si>
  <si>
    <t>Adcionar 0,15 se permite ordenar pelo Tipo</t>
  </si>
  <si>
    <t>Adcionar 0,15 se permite ordenar pela Data de Validade</t>
  </si>
  <si>
    <t>Adcionar 0,15 se permite ordenar pela Data de Cadastro</t>
  </si>
  <si>
    <t>Adicionar 0,2 se permitiu ordenar por qualquer coluna na tabela</t>
  </si>
  <si>
    <t>Adicionar 0,25 se não permite edição sem ter selecionado uma linha na tabela</t>
  </si>
  <si>
    <t>Adicionar 0,25 se os dados da tabela correspondem aos dados do banco de dados (não são fixos)</t>
  </si>
  <si>
    <t>Adicionar 0,25 se os produtos listados correspondem somente aos produtos do fornecedor logado</t>
  </si>
  <si>
    <t>Edição/Inserção de produtos</t>
  </si>
  <si>
    <t>Adicionar 0,2 se não permitiu cadastrar produto sem informar um tipo</t>
  </si>
  <si>
    <t>Adicionar 0,2 se não permitiu cadastrar produto sem informar um nome</t>
  </si>
  <si>
    <t>Adicionar 0,2 se não permitiu cadastrar produto sem informar uma validade</t>
  </si>
  <si>
    <t>B6</t>
  </si>
  <si>
    <t>Teste de soluções de software - Desktop + Crud</t>
  </si>
  <si>
    <t>Teste validação de edição produto/solicitação</t>
  </si>
  <si>
    <t>Adicionar 0,4 se implementou mensagem de alerta adequada quando fornecedor editar produto, sem ter selecionado um produto na lista</t>
  </si>
  <si>
    <t>Adicionar 0,4 se implementou mensagem de alerta adequada quando cliente editar solicitação, sem ter selecionado um produto na lista</t>
  </si>
  <si>
    <t>Teste validação de formulário</t>
  </si>
  <si>
    <t>Adicionar 0,4 se implementou mensagem de validação clara quando fornecedor inserir o produto, obedecendo cada regra dos campos</t>
  </si>
  <si>
    <t>Descontar 0,25 se mostra mensagens de validação sequenciais para cada erro no formulário de inserir produto do fornecedor, ao invés de agrupar todos os erros num único alerta</t>
  </si>
  <si>
    <t>Adicionar 0,4 se implementou mensagem de validação clara quando cliente inserir o solicitação, obedecendo cada regra dos campos</t>
  </si>
  <si>
    <t>Teste validação cria usuário</t>
  </si>
  <si>
    <t>x</t>
  </si>
  <si>
    <t>Competition</t>
  </si>
  <si>
    <t>Adicionar 0,2 se é possível ordenar “Mais Próxima do vencimento”</t>
  </si>
  <si>
    <t>Adicionar 0,2 se não permitiu cadastrar produto com descrição com de 20 até 50 caracteres</t>
  </si>
  <si>
    <t>Adicionar 0,1 se a descrição resumida apresenta reticências quando a descrição da solicitação for longa</t>
  </si>
  <si>
    <t>Adicionar 0,1 se mostrou descricao completa com o tooltip</t>
  </si>
  <si>
    <t>Adicionar 0,2 se não permitiu cadastrar produto com data de validade atual e no passado</t>
  </si>
  <si>
    <t>Adicionar 0,2 se atualizou o estoque do produto</t>
  </si>
  <si>
    <t>Adicionar 0,1 se permitiu habilitar o cashback na solicitação</t>
  </si>
  <si>
    <t>Adicionar 0,5 se a mudança de perfil de cadastro reflete na mesma tela os campos</t>
  </si>
  <si>
    <t>Adicionar 0,5 se consegue informar validação total do formulário, ao invés de realizar validação de um campo por vez</t>
  </si>
  <si>
    <t>Pontação duplicada. Correção do CIS com pontuação do cadastro de usuário</t>
  </si>
  <si>
    <t>ESSE ITEM JÁ ESTA CONSIDERADO NO ASPECTO TESTE. Descontar 0,25 se mostra mensagens de validação sequenciais para cada no cadastro de usuário, ao invés de agrupar todos os erros num único alerta</t>
  </si>
  <si>
    <t>Esse topico foi movido para o aspecto B</t>
  </si>
  <si>
    <t>Adicionar 0,2 se é possível ordenar “Mais distante do vencimento”</t>
  </si>
  <si>
    <t>Adicionar 0,2 se valor é calculado corretamente com a soma dos valores dos produtos da solicitação</t>
  </si>
  <si>
    <t>Adicionar 0,1 se apresentou a data vlalidade no formato dd/MM/yyyy</t>
  </si>
  <si>
    <t>Adicionar 0,1 se apresentou opcoes Visualizar detalhes para status Vencida (nao permite editar ou excluir)</t>
  </si>
  <si>
    <t>Adicionar 0,2 se apresentou opcoes Editar e Excluir para status Vencendo e Válida (descontar 0,1 se não apresentou para um dos casos)</t>
  </si>
  <si>
    <t>Adicionar 0,3 se os dados correspondem aos dados do cliente logado</t>
  </si>
  <si>
    <t>Adicionar 0,1 se permite filtrar pelo nome do produto</t>
  </si>
  <si>
    <t>Adicionar 0,1 nome do tipo de produto com maior ocorrência</t>
  </si>
  <si>
    <t>Adicionar 0,1 se mostrou a imagem do tipo de produto com maior ocorrência</t>
  </si>
  <si>
    <t>Adicionar 0,2 se a descrição é validada (de 15 ate 50)</t>
  </si>
  <si>
    <t>Adicionar 0,2 se não permitiu cadastrar solicitação com validade no passado (data futura, com no mínimo 15 dias de diferença da data atual)</t>
  </si>
  <si>
    <t>Adicionar 0,2 se realizou a busca de produto para solicitação de acordo com seu tipo e nome</t>
  </si>
  <si>
    <t>Adicionar 0,2 se a cada alteração de produtos na solicitação, o valor é recalculado</t>
  </si>
  <si>
    <t>Inserir Nova Solicitação - Seleção dos Produtos</t>
  </si>
  <si>
    <t>Adicionar 0,3 se apresenta a lista de produtos para ser adicionado (descontar 0,1 se nao foi apresentado em lista horizontal  com nome e foto)</t>
  </si>
  <si>
    <t>Adicionar 0,3 se permitiu selecionar o fornecedor e filtrar seus produtos para inclusão na solicitação</t>
  </si>
  <si>
    <t>Adicionar 0,2 se destacou o item selecionado</t>
  </si>
  <si>
    <t>Adicionar 0,3 se adicionou os produtos com drag &amp; drop</t>
  </si>
  <si>
    <t>Adicionar 0,2 se calculou e salvou o cashback da solicitacao</t>
  </si>
  <si>
    <t>Adicionar 0,2 se permitiu cadastrar a foto</t>
  </si>
  <si>
    <t>Adicionar 0,15 se apresentou o status Faltando 7 dias ou menos em  amarelo</t>
  </si>
  <si>
    <t>Adicionar 0,15 se apresentou o status menor que data atual em vermelho</t>
  </si>
  <si>
    <t>Adicionar 0,15 se salvou os dados do produto</t>
  </si>
  <si>
    <t>Adicionar 0,15 se editar os dados do produto</t>
  </si>
  <si>
    <t>Adicionar 0,2 se não permitiu cadastrar produto com o mesmo nome de outro já cadastrado para o fornecedor anteriormente</t>
  </si>
  <si>
    <t>Adicionar 0,2 se implementou mensagem de validação clara no cadastro de usuário, obedecendo cada regra dos campos</t>
  </si>
  <si>
    <t>Adicionar 0,2 se consegue informar validação total do formulário, ao invés de realizar validação de um campo por vez</t>
  </si>
  <si>
    <t>Pontos mantidos do autor da proposta</t>
  </si>
  <si>
    <t>Aspectos alterardos na funcionalidade</t>
  </si>
  <si>
    <t>Pontos mantidos e deslocados para outro aspecto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</si>
</sst>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theme="1"/>
      <name val="Arial"/>
      <scheme val="minor"/>
    </font>
    <font>
      <sz val="18"/>
      <color rgb="FFFFFFFF"/>
      <name val="Arial"/>
    </font>
    <font>
      <sz val="10"/>
      <name val="Arial"/>
    </font>
    <font>
      <sz val="10"/>
      <color theme="1"/>
      <name val="Arial"/>
    </font>
    <font>
      <sz val="16"/>
      <color rgb="FFFFFFFF"/>
      <name val="Arial"/>
    </font>
    <font>
      <sz val="10"/>
      <color rgb="FFFFFFFF"/>
      <name val="Arial"/>
    </font>
    <font>
      <sz val="16"/>
      <color theme="1"/>
      <name val="Arial"/>
    </font>
    <font>
      <sz val="16"/>
      <color rgb="FF000000"/>
      <name val="Arial"/>
    </font>
    <font>
      <sz val="11"/>
      <color theme="1"/>
      <name val="Arial"/>
    </font>
    <font>
      <sz val="10"/>
      <color rgb="FF000000"/>
      <name val="Arial"/>
    </font>
    <font>
      <sz val="12"/>
      <color theme="1"/>
      <name val="Arial"/>
    </font>
    <font>
      <b/>
      <sz val="10"/>
      <color theme="1"/>
      <name val="Arial"/>
    </font>
    <font>
      <b/>
      <sz val="10"/>
      <color rgb="FF000000"/>
      <name val="Arial"/>
    </font>
    <font>
      <strike/>
      <sz val="10"/>
      <color rgb="FF000000"/>
      <name val="Arial"/>
    </font>
    <font>
      <sz val="10"/>
      <color theme="1"/>
      <name val="Arial"/>
      <family val="2"/>
    </font>
    <font>
      <sz val="10"/>
      <color rgb="FF000000"/>
      <name val="Arial"/>
      <family val="2"/>
    </font>
    <font>
      <strike/>
      <sz val="10"/>
      <color rgb="FF000000"/>
      <name val="Arial"/>
      <family val="2"/>
    </font>
    <font>
      <sz val="10"/>
      <color theme="1"/>
      <name val="Arial"/>
      <family val="2"/>
      <scheme val="minor"/>
    </font>
    <font>
      <b/>
      <sz val="10"/>
      <color theme="1"/>
      <name val="Arial"/>
      <family val="2"/>
    </font>
    <font>
      <b/>
      <sz val="10"/>
      <name val="Arial"/>
      <family val="2"/>
    </font>
  </fonts>
  <fills count="15">
    <fill>
      <patternFill patternType="none"/>
    </fill>
    <fill>
      <patternFill patternType="gray125"/>
    </fill>
    <fill>
      <patternFill patternType="solid">
        <fgColor rgb="FF969696"/>
        <bgColor rgb="FF969696"/>
      </patternFill>
    </fill>
    <fill>
      <patternFill patternType="solid">
        <fgColor rgb="FFFFFF00"/>
        <bgColor rgb="FFFFFF00"/>
      </patternFill>
    </fill>
    <fill>
      <patternFill patternType="solid">
        <fgColor rgb="FFEAF1DD"/>
        <bgColor rgb="FFEAF1DD"/>
      </patternFill>
    </fill>
    <fill>
      <patternFill patternType="solid">
        <fgColor rgb="FFB6D7A8"/>
        <bgColor rgb="FFB6D7A8"/>
      </patternFill>
    </fill>
    <fill>
      <patternFill patternType="solid">
        <fgColor rgb="FFFCE5CD"/>
        <bgColor rgb="FFFCE5CD"/>
      </patternFill>
    </fill>
    <fill>
      <patternFill patternType="solid">
        <fgColor rgb="FFFDE9D9"/>
        <bgColor rgb="FFFDE9D9"/>
      </patternFill>
    </fill>
    <fill>
      <patternFill patternType="solid">
        <fgColor theme="9" tint="0.79998168889431442"/>
        <bgColor indexed="64"/>
      </patternFill>
    </fill>
    <fill>
      <patternFill patternType="solid">
        <fgColor theme="9" tint="0.79998168889431442"/>
        <bgColor rgb="FFFCE5CD"/>
      </patternFill>
    </fill>
    <fill>
      <patternFill patternType="solid">
        <fgColor theme="6" tint="0.59999389629810485"/>
        <bgColor indexed="64"/>
      </patternFill>
    </fill>
    <fill>
      <patternFill patternType="solid">
        <fgColor theme="9" tint="0.79998168889431442"/>
        <bgColor rgb="FFFFFF00"/>
      </patternFill>
    </fill>
    <fill>
      <patternFill patternType="solid">
        <fgColor theme="6" tint="0.59999389629810485"/>
        <bgColor rgb="FFFFFF00"/>
      </patternFill>
    </fill>
    <fill>
      <patternFill patternType="solid">
        <fgColor theme="6" tint="0.59999389629810485"/>
        <bgColor rgb="FFFCE5CD"/>
      </patternFill>
    </fill>
    <fill>
      <patternFill patternType="solid">
        <fgColor theme="5" tint="0.59996337778862885"/>
        <bgColor indexed="64"/>
      </patternFill>
    </fill>
  </fills>
  <borders count="2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bottom/>
      <diagonal/>
    </border>
    <border>
      <left style="medium">
        <color rgb="FF000000"/>
      </left>
      <right style="medium">
        <color rgb="FF000000"/>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0">
    <xf numFmtId="0" fontId="0" fillId="0" borderId="0" xfId="0"/>
    <xf numFmtId="0" fontId="3" fillId="0" borderId="0" xfId="0" applyFont="1" applyAlignment="1">
      <alignment horizontal="center" vertical="center"/>
    </xf>
    <xf numFmtId="0" fontId="3" fillId="0" borderId="0" xfId="0" applyFont="1" applyAlignment="1">
      <alignment horizontal="center"/>
    </xf>
    <xf numFmtId="2" fontId="3" fillId="0" borderId="0" xfId="0" applyNumberFormat="1" applyFont="1"/>
    <xf numFmtId="0" fontId="5" fillId="2" borderId="4" xfId="0" applyFont="1" applyFill="1" applyBorder="1" applyAlignment="1">
      <alignment horizontal="center" vertical="center" wrapText="1"/>
    </xf>
    <xf numFmtId="2" fontId="5" fillId="2" borderId="4" xfId="0" applyNumberFormat="1" applyFont="1" applyFill="1" applyBorder="1" applyAlignment="1">
      <alignment horizontal="center" vertical="center" wrapText="1"/>
    </xf>
    <xf numFmtId="0" fontId="3" fillId="0" borderId="5" xfId="0" applyFont="1" applyBorder="1" applyAlignment="1">
      <alignment horizontal="center" vertical="center"/>
    </xf>
    <xf numFmtId="2" fontId="3" fillId="0" borderId="9" xfId="0" applyNumberFormat="1" applyFont="1" applyBorder="1" applyAlignment="1">
      <alignment horizontal="center" vertical="center"/>
    </xf>
    <xf numFmtId="2" fontId="3" fillId="0" borderId="10"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0" xfId="0" applyFont="1" applyAlignment="1">
      <alignment horizontal="left" vertical="center"/>
    </xf>
    <xf numFmtId="2" fontId="3" fillId="3" borderId="18" xfId="0" applyNumberFormat="1" applyFont="1" applyFill="1" applyBorder="1" applyAlignment="1">
      <alignment horizontal="center" vertical="center"/>
    </xf>
    <xf numFmtId="0" fontId="3" fillId="0" borderId="9" xfId="0" applyFont="1" applyBorder="1"/>
    <xf numFmtId="0" fontId="5" fillId="0" borderId="0" xfId="0" applyFont="1" applyAlignment="1">
      <alignment horizontal="center" vertical="center" wrapText="1"/>
    </xf>
    <xf numFmtId="0" fontId="5" fillId="2" borderId="19" xfId="0" applyFont="1" applyFill="1" applyBorder="1" applyAlignment="1">
      <alignment horizontal="center" vertical="center" wrapText="1"/>
    </xf>
    <xf numFmtId="2" fontId="5" fillId="2" borderId="19" xfId="0" applyNumberFormat="1"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2" fontId="6" fillId="0" borderId="0" xfId="0" applyNumberFormat="1" applyFont="1" applyAlignment="1">
      <alignment horizontal="center" vertical="center"/>
    </xf>
    <xf numFmtId="0" fontId="3" fillId="0" borderId="5" xfId="0" applyFont="1" applyBorder="1" applyAlignment="1">
      <alignment horizontal="left"/>
    </xf>
    <xf numFmtId="0" fontId="3" fillId="0" borderId="5" xfId="0" applyFont="1" applyBorder="1" applyAlignment="1">
      <alignment horizontal="center"/>
    </xf>
    <xf numFmtId="0" fontId="9" fillId="0" borderId="5" xfId="0" applyFont="1" applyBorder="1"/>
    <xf numFmtId="2" fontId="3" fillId="5" borderId="21" xfId="0" applyNumberFormat="1" applyFont="1" applyFill="1" applyBorder="1" applyAlignment="1">
      <alignment horizontal="center"/>
    </xf>
    <xf numFmtId="2" fontId="3" fillId="0" borderId="5" xfId="0" applyNumberFormat="1" applyFont="1" applyBorder="1" applyAlignment="1">
      <alignment horizontal="center"/>
    </xf>
    <xf numFmtId="10" fontId="10" fillId="0" borderId="0" xfId="0" applyNumberFormat="1" applyFont="1"/>
    <xf numFmtId="0" fontId="9" fillId="0" borderId="5" xfId="0" applyFont="1" applyBorder="1" applyAlignment="1">
      <alignment horizontal="center"/>
    </xf>
    <xf numFmtId="0" fontId="11" fillId="6" borderId="21" xfId="0" applyFont="1" applyFill="1" applyBorder="1" applyAlignment="1">
      <alignment horizontal="left"/>
    </xf>
    <xf numFmtId="0" fontId="9" fillId="6" borderId="21" xfId="0" applyFont="1" applyFill="1" applyBorder="1"/>
    <xf numFmtId="0" fontId="3" fillId="0" borderId="0" xfId="0" applyFont="1"/>
    <xf numFmtId="2" fontId="3" fillId="0" borderId="5" xfId="0" applyNumberFormat="1" applyFont="1" applyBorder="1"/>
    <xf numFmtId="0" fontId="3" fillId="6" borderId="20" xfId="0" applyFont="1" applyFill="1" applyBorder="1"/>
    <xf numFmtId="0" fontId="12" fillId="0" borderId="5" xfId="0" applyFont="1" applyBorder="1"/>
    <xf numFmtId="0" fontId="3" fillId="0" borderId="5" xfId="0" applyFont="1" applyBorder="1"/>
    <xf numFmtId="0" fontId="9" fillId="7" borderId="21" xfId="0" applyFont="1" applyFill="1" applyBorder="1"/>
    <xf numFmtId="2" fontId="3" fillId="7" borderId="21" xfId="0" applyNumberFormat="1" applyFont="1" applyFill="1" applyBorder="1" applyAlignment="1">
      <alignment horizontal="center"/>
    </xf>
    <xf numFmtId="2" fontId="3" fillId="6" borderId="21" xfId="0" applyNumberFormat="1" applyFont="1" applyFill="1" applyBorder="1" applyAlignment="1">
      <alignment horizontal="center"/>
    </xf>
    <xf numFmtId="2" fontId="3" fillId="3" borderId="21" xfId="0" applyNumberFormat="1" applyFont="1" applyFill="1" applyBorder="1" applyAlignment="1">
      <alignment horizontal="center"/>
    </xf>
    <xf numFmtId="0" fontId="13" fillId="3" borderId="21" xfId="0" applyFont="1" applyFill="1" applyBorder="1"/>
    <xf numFmtId="0" fontId="9" fillId="0" borderId="5" xfId="0" applyFont="1" applyBorder="1" applyAlignment="1">
      <alignment wrapText="1"/>
    </xf>
    <xf numFmtId="0" fontId="3" fillId="3" borderId="21" xfId="0" applyFont="1" applyFill="1" applyBorder="1"/>
    <xf numFmtId="10" fontId="3" fillId="0" borderId="0" xfId="0" applyNumberFormat="1" applyFont="1"/>
    <xf numFmtId="0" fontId="3" fillId="0" borderId="5" xfId="0" applyFont="1" applyBorder="1" applyAlignment="1">
      <alignment horizontal="left" vertical="center"/>
    </xf>
    <xf numFmtId="2" fontId="3" fillId="0" borderId="5" xfId="0" applyNumberFormat="1" applyFont="1" applyBorder="1" applyAlignment="1">
      <alignment horizontal="center" vertical="center"/>
    </xf>
    <xf numFmtId="0" fontId="3" fillId="0" borderId="21" xfId="0" applyFont="1" applyBorder="1" applyAlignment="1">
      <alignment horizontal="center" vertical="center"/>
    </xf>
    <xf numFmtId="0" fontId="3" fillId="0" borderId="21" xfId="0" applyFont="1" applyBorder="1" applyAlignment="1">
      <alignment horizontal="left"/>
    </xf>
    <xf numFmtId="0" fontId="3" fillId="0" borderId="21" xfId="0" applyFont="1" applyBorder="1" applyAlignment="1">
      <alignment horizontal="center"/>
    </xf>
    <xf numFmtId="0" fontId="9" fillId="0" borderId="21" xfId="0" applyFont="1" applyBorder="1"/>
    <xf numFmtId="2" fontId="3" fillId="0" borderId="21" xfId="0" applyNumberFormat="1" applyFont="1" applyBorder="1" applyAlignment="1">
      <alignment horizontal="center"/>
    </xf>
    <xf numFmtId="0" fontId="3" fillId="0" borderId="21" xfId="0" applyFont="1" applyBorder="1"/>
    <xf numFmtId="0" fontId="9" fillId="8" borderId="5" xfId="0" applyFont="1" applyFill="1" applyBorder="1" applyAlignment="1">
      <alignment wrapText="1"/>
    </xf>
    <xf numFmtId="0" fontId="3" fillId="9" borderId="20" xfId="0" applyFont="1" applyFill="1" applyBorder="1"/>
    <xf numFmtId="0" fontId="0" fillId="8" borderId="0" xfId="0" applyFill="1"/>
    <xf numFmtId="0" fontId="9" fillId="8" borderId="5" xfId="0" applyFont="1" applyFill="1" applyBorder="1"/>
    <xf numFmtId="0" fontId="15" fillId="10" borderId="21" xfId="0" applyFont="1" applyFill="1" applyBorder="1"/>
    <xf numFmtId="0" fontId="16" fillId="10" borderId="21" xfId="0" applyFont="1" applyFill="1" applyBorder="1"/>
    <xf numFmtId="0" fontId="9" fillId="9" borderId="21" xfId="0" applyFont="1" applyFill="1" applyBorder="1"/>
    <xf numFmtId="0" fontId="9" fillId="11" borderId="21" xfId="0" applyFont="1" applyFill="1" applyBorder="1"/>
    <xf numFmtId="0" fontId="17" fillId="0" borderId="0" xfId="0" applyFont="1"/>
    <xf numFmtId="0" fontId="0" fillId="0" borderId="20" xfId="0" applyBorder="1"/>
    <xf numFmtId="0" fontId="14" fillId="0" borderId="5" xfId="0" applyFont="1" applyBorder="1" applyAlignment="1">
      <alignment horizontal="center"/>
    </xf>
    <xf numFmtId="0" fontId="15" fillId="0" borderId="5" xfId="0" applyFont="1" applyBorder="1"/>
    <xf numFmtId="0" fontId="14" fillId="0" borderId="5" xfId="0" applyFont="1" applyBorder="1" applyAlignment="1">
      <alignment horizontal="left"/>
    </xf>
    <xf numFmtId="0" fontId="9" fillId="12" borderId="21" xfId="0" applyFont="1" applyFill="1" applyBorder="1"/>
    <xf numFmtId="0" fontId="9" fillId="13" borderId="21" xfId="0" applyFont="1" applyFill="1" applyBorder="1"/>
    <xf numFmtId="0" fontId="15" fillId="14" borderId="5" xfId="0" applyFont="1" applyFill="1" applyBorder="1"/>
    <xf numFmtId="2" fontId="6" fillId="4" borderId="24" xfId="0" applyNumberFormat="1" applyFont="1" applyFill="1" applyBorder="1" applyAlignment="1">
      <alignment horizontal="center" vertical="center"/>
    </xf>
    <xf numFmtId="10" fontId="8" fillId="4" borderId="25" xfId="0" applyNumberFormat="1" applyFont="1" applyFill="1" applyBorder="1" applyAlignment="1">
      <alignment horizontal="center" vertical="center"/>
    </xf>
    <xf numFmtId="0" fontId="3" fillId="0" borderId="0" xfId="0" applyFont="1" applyAlignment="1">
      <alignment horizontal="left" vertical="center"/>
    </xf>
    <xf numFmtId="0" fontId="0" fillId="0" borderId="0" xfId="0"/>
    <xf numFmtId="0" fontId="2" fillId="0" borderId="9" xfId="0" applyFont="1" applyBorder="1"/>
    <xf numFmtId="0" fontId="3" fillId="0" borderId="11" xfId="0" applyFont="1" applyBorder="1" applyAlignment="1">
      <alignment horizontal="left" vertical="center"/>
    </xf>
    <xf numFmtId="0" fontId="3" fillId="0" borderId="13" xfId="0" applyFont="1" applyBorder="1" applyAlignment="1">
      <alignment horizontal="left" vertical="center"/>
    </xf>
    <xf numFmtId="0" fontId="2" fillId="0" borderId="13" xfId="0" applyFont="1" applyBorder="1"/>
    <xf numFmtId="0" fontId="2" fillId="0" borderId="14" xfId="0" applyFont="1" applyBorder="1"/>
    <xf numFmtId="0" fontId="18" fillId="4" borderId="22" xfId="0" applyFont="1" applyFill="1" applyBorder="1" applyAlignment="1">
      <alignment horizontal="center"/>
    </xf>
    <xf numFmtId="0" fontId="19" fillId="0" borderId="23" xfId="0" applyFont="1" applyBorder="1"/>
    <xf numFmtId="0" fontId="3" fillId="0" borderId="12" xfId="0" applyFont="1" applyBorder="1" applyAlignment="1">
      <alignment horizontal="left" vertical="center"/>
    </xf>
    <xf numFmtId="0" fontId="3" fillId="0" borderId="1" xfId="0" applyFont="1" applyBorder="1" applyAlignment="1">
      <alignment horizontal="center" vertical="center"/>
    </xf>
    <xf numFmtId="0" fontId="2" fillId="0" borderId="3" xfId="0" applyFont="1" applyBorder="1"/>
    <xf numFmtId="0" fontId="4" fillId="2" borderId="1" xfId="0" applyFont="1" applyFill="1" applyBorder="1" applyAlignment="1">
      <alignment horizontal="center" vertical="center" wrapText="1"/>
    </xf>
    <xf numFmtId="0" fontId="2" fillId="0" borderId="2" xfId="0" applyFont="1" applyBorder="1"/>
    <xf numFmtId="0" fontId="5" fillId="2" borderId="1" xfId="0" applyFont="1" applyFill="1" applyBorder="1" applyAlignment="1">
      <alignment horizontal="center" vertical="center" wrapText="1"/>
    </xf>
    <xf numFmtId="0" fontId="3" fillId="3" borderId="15" xfId="0" applyFont="1" applyFill="1" applyBorder="1" applyAlignment="1">
      <alignment horizontal="left" vertical="center"/>
    </xf>
    <xf numFmtId="0" fontId="2" fillId="0" borderId="16" xfId="0" applyFont="1" applyBorder="1"/>
    <xf numFmtId="0" fontId="2" fillId="0" borderId="17" xfId="0" applyFont="1" applyBorder="1"/>
    <xf numFmtId="0" fontId="1" fillId="2" borderId="1" xfId="0" applyFont="1" applyFill="1" applyBorder="1" applyAlignment="1">
      <alignment horizontal="center" vertical="center" wrapText="1"/>
    </xf>
    <xf numFmtId="0" fontId="3" fillId="0" borderId="6" xfId="0" applyFont="1" applyBorder="1" applyAlignment="1">
      <alignment horizontal="left" vertical="center"/>
    </xf>
    <xf numFmtId="0" fontId="2" fillId="0" borderId="7" xfId="0" applyFont="1" applyBorder="1"/>
    <xf numFmtId="0" fontId="2"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66"/>
  <sheetViews>
    <sheetView tabSelected="1" topLeftCell="A6" zoomScale="72" zoomScaleNormal="72" workbookViewId="0">
      <selection activeCell="J7" sqref="J7"/>
    </sheetView>
  </sheetViews>
  <sheetFormatPr defaultColWidth="12.6640625" defaultRowHeight="15" customHeight="1" x14ac:dyDescent="0.25"/>
  <cols>
    <col min="1" max="1" width="5.6640625" customWidth="1"/>
    <col min="2" max="2" width="31" customWidth="1"/>
    <col min="3" max="3" width="3.88671875" customWidth="1"/>
    <col min="4" max="4" width="4.6640625" customWidth="1"/>
    <col min="5" max="5" width="42.44140625" bestFit="1" customWidth="1"/>
    <col min="6" max="6" width="4.77734375" customWidth="1"/>
    <col min="7" max="7" width="122.77734375" customWidth="1"/>
    <col min="8" max="9" width="5.6640625" customWidth="1"/>
    <col min="10" max="10" width="6.44140625" customWidth="1"/>
    <col min="11" max="11" width="10.6640625" customWidth="1"/>
    <col min="12" max="12" width="22.6640625" customWidth="1"/>
    <col min="13" max="13" width="7.88671875" bestFit="1" customWidth="1"/>
    <col min="14" max="14" width="9.21875" customWidth="1"/>
    <col min="15" max="15" width="14.109375" bestFit="1" customWidth="1"/>
    <col min="16" max="25" width="8.77734375" customWidth="1"/>
  </cols>
  <sheetData>
    <row r="1" spans="1:14" ht="12.75" customHeight="1" x14ac:dyDescent="0.25">
      <c r="A1" s="86" t="s">
        <v>0</v>
      </c>
      <c r="B1" s="81"/>
      <c r="C1" s="81"/>
      <c r="D1" s="81"/>
      <c r="E1" s="81"/>
      <c r="F1" s="81"/>
      <c r="G1" s="81"/>
      <c r="H1" s="81"/>
      <c r="I1" s="81"/>
      <c r="J1" s="81"/>
      <c r="K1" s="79"/>
    </row>
    <row r="2" spans="1:14" ht="12.75" customHeight="1" x14ac:dyDescent="0.25">
      <c r="C2" s="1"/>
      <c r="E2" s="1"/>
      <c r="F2" s="2"/>
      <c r="J2" s="1"/>
      <c r="K2" s="3"/>
    </row>
    <row r="3" spans="1:14" ht="12.75" customHeight="1" x14ac:dyDescent="0.25">
      <c r="A3" s="80" t="s">
        <v>1</v>
      </c>
      <c r="B3" s="81"/>
      <c r="C3" s="81"/>
      <c r="D3" s="81"/>
      <c r="E3" s="81"/>
      <c r="F3" s="81"/>
      <c r="G3" s="81"/>
      <c r="H3" s="81"/>
      <c r="I3" s="81"/>
      <c r="J3" s="81"/>
      <c r="K3" s="79"/>
    </row>
    <row r="4" spans="1:14" ht="12.75" customHeight="1" x14ac:dyDescent="0.25">
      <c r="A4" s="4" t="s">
        <v>2</v>
      </c>
      <c r="B4" s="82" t="s">
        <v>3</v>
      </c>
      <c r="C4" s="81"/>
      <c r="D4" s="81"/>
      <c r="E4" s="81"/>
      <c r="F4" s="81"/>
      <c r="G4" s="81"/>
      <c r="H4" s="79"/>
      <c r="I4" s="4" t="s">
        <v>3</v>
      </c>
      <c r="J4" s="4" t="s">
        <v>4</v>
      </c>
      <c r="K4" s="5" t="s">
        <v>5</v>
      </c>
    </row>
    <row r="5" spans="1:14" ht="12.75" customHeight="1" x14ac:dyDescent="0.25">
      <c r="A5" s="6">
        <v>1</v>
      </c>
      <c r="B5" s="87" t="s">
        <v>6</v>
      </c>
      <c r="C5" s="88"/>
      <c r="D5" s="88"/>
      <c r="E5" s="88"/>
      <c r="F5" s="88"/>
      <c r="G5" s="88"/>
      <c r="H5" s="89"/>
      <c r="I5" s="7">
        <f>SUMIF($I$25:$I$139,A5,$K$25:$K$139)</f>
        <v>0.8</v>
      </c>
      <c r="J5" s="8">
        <v>0.8</v>
      </c>
      <c r="K5" s="8">
        <f t="shared" ref="K5:K10" si="0">ABS(I5-J5)</f>
        <v>0</v>
      </c>
    </row>
    <row r="6" spans="1:14" ht="12.75" customHeight="1" x14ac:dyDescent="0.25">
      <c r="A6" s="9">
        <v>2</v>
      </c>
      <c r="B6" s="71" t="s">
        <v>7</v>
      </c>
      <c r="C6" s="69"/>
      <c r="D6" s="69"/>
      <c r="E6" s="69"/>
      <c r="F6" s="69"/>
      <c r="G6" s="69"/>
      <c r="H6" s="70"/>
      <c r="I6" s="7">
        <f t="shared" ref="I5:I10" si="1">SUMIF($I$25:$I$139,A6,$K$25:$K$139)</f>
        <v>0.5</v>
      </c>
      <c r="J6" s="8">
        <v>0.5</v>
      </c>
      <c r="K6" s="8">
        <f t="shared" si="0"/>
        <v>0</v>
      </c>
    </row>
    <row r="7" spans="1:14" ht="12.75" customHeight="1" x14ac:dyDescent="0.25">
      <c r="A7" s="9">
        <v>3</v>
      </c>
      <c r="B7" s="71" t="s">
        <v>8</v>
      </c>
      <c r="C7" s="69"/>
      <c r="D7" s="69"/>
      <c r="E7" s="69"/>
      <c r="F7" s="69"/>
      <c r="G7" s="69"/>
      <c r="H7" s="70"/>
      <c r="I7" s="7">
        <f t="shared" si="1"/>
        <v>1</v>
      </c>
      <c r="J7" s="8">
        <v>1</v>
      </c>
      <c r="K7" s="8">
        <f t="shared" si="0"/>
        <v>0</v>
      </c>
    </row>
    <row r="8" spans="1:14" ht="12.75" customHeight="1" x14ac:dyDescent="0.25">
      <c r="A8" s="9">
        <v>4</v>
      </c>
      <c r="B8" s="71" t="s">
        <v>9</v>
      </c>
      <c r="C8" s="69"/>
      <c r="D8" s="69"/>
      <c r="E8" s="69"/>
      <c r="F8" s="69"/>
      <c r="G8" s="69"/>
      <c r="H8" s="70"/>
      <c r="I8" s="7">
        <f t="shared" si="1"/>
        <v>1</v>
      </c>
      <c r="J8" s="8">
        <v>1</v>
      </c>
      <c r="K8" s="8">
        <f t="shared" si="0"/>
        <v>0</v>
      </c>
    </row>
    <row r="9" spans="1:14" ht="12.75" customHeight="1" x14ac:dyDescent="0.25">
      <c r="A9" s="9">
        <v>5</v>
      </c>
      <c r="B9" s="71" t="s">
        <v>10</v>
      </c>
      <c r="C9" s="69"/>
      <c r="D9" s="69"/>
      <c r="E9" s="69"/>
      <c r="F9" s="69"/>
      <c r="G9" s="69"/>
      <c r="H9" s="70"/>
      <c r="I9" s="7">
        <f t="shared" si="1"/>
        <v>9</v>
      </c>
      <c r="J9" s="8">
        <v>9</v>
      </c>
      <c r="K9" s="8">
        <f t="shared" si="0"/>
        <v>0</v>
      </c>
    </row>
    <row r="10" spans="1:14" ht="12.75" customHeight="1" x14ac:dyDescent="0.25">
      <c r="A10" s="10">
        <v>6</v>
      </c>
      <c r="B10" s="77" t="s">
        <v>11</v>
      </c>
      <c r="C10" s="73"/>
      <c r="D10" s="73"/>
      <c r="E10" s="73"/>
      <c r="F10" s="73"/>
      <c r="G10" s="73"/>
      <c r="H10" s="74"/>
      <c r="I10" s="7">
        <f t="shared" si="1"/>
        <v>2</v>
      </c>
      <c r="J10" s="8">
        <v>2</v>
      </c>
      <c r="K10" s="8">
        <f t="shared" si="0"/>
        <v>0</v>
      </c>
    </row>
    <row r="11" spans="1:14" ht="12.75" customHeight="1" x14ac:dyDescent="0.25">
      <c r="A11" s="6"/>
      <c r="C11" s="1"/>
      <c r="D11" s="2"/>
      <c r="E11" s="1"/>
      <c r="F11" s="2"/>
      <c r="I11" s="78" t="s">
        <v>12</v>
      </c>
      <c r="J11" s="79"/>
      <c r="K11" s="8">
        <f>SUM(K5:K10)</f>
        <v>0</v>
      </c>
    </row>
    <row r="12" spans="1:14" ht="12.75" customHeight="1" x14ac:dyDescent="0.25">
      <c r="C12" s="1"/>
      <c r="E12" s="1"/>
      <c r="F12" s="2"/>
      <c r="I12" s="1"/>
      <c r="J12" s="1"/>
      <c r="K12" s="3"/>
    </row>
    <row r="13" spans="1:14" ht="12.75" customHeight="1" x14ac:dyDescent="0.25">
      <c r="A13" s="80" t="s">
        <v>13</v>
      </c>
      <c r="B13" s="81"/>
      <c r="C13" s="81"/>
      <c r="D13" s="81"/>
      <c r="E13" s="81"/>
      <c r="F13" s="81"/>
      <c r="G13" s="81"/>
      <c r="H13" s="81"/>
      <c r="I13" s="81"/>
      <c r="J13" s="81"/>
      <c r="K13" s="79"/>
    </row>
    <row r="14" spans="1:14" ht="12.75" customHeight="1" x14ac:dyDescent="0.25">
      <c r="A14" s="4" t="s">
        <v>14</v>
      </c>
      <c r="B14" s="82" t="s">
        <v>15</v>
      </c>
      <c r="C14" s="81"/>
      <c r="D14" s="81"/>
      <c r="E14" s="81"/>
      <c r="F14" s="81"/>
      <c r="G14" s="81"/>
      <c r="H14" s="81"/>
      <c r="I14" s="81"/>
      <c r="J14" s="79"/>
      <c r="K14" s="5" t="s">
        <v>16</v>
      </c>
    </row>
    <row r="15" spans="1:14" ht="12.75" customHeight="1" x14ac:dyDescent="0.25">
      <c r="A15" s="6" t="s">
        <v>17</v>
      </c>
      <c r="B15" s="68" t="s">
        <v>18</v>
      </c>
      <c r="C15" s="69"/>
      <c r="D15" s="69"/>
      <c r="E15" s="69"/>
      <c r="F15" s="69"/>
      <c r="G15" s="69"/>
      <c r="H15" s="69"/>
      <c r="I15" s="69"/>
      <c r="J15" s="70"/>
      <c r="K15" s="7">
        <v>14.3</v>
      </c>
    </row>
    <row r="16" spans="1:14" ht="12.75" customHeight="1" x14ac:dyDescent="0.25">
      <c r="A16" s="6" t="s">
        <v>19</v>
      </c>
      <c r="B16" s="83" t="s">
        <v>20</v>
      </c>
      <c r="C16" s="84"/>
      <c r="D16" s="84"/>
      <c r="E16" s="84"/>
      <c r="F16" s="84"/>
      <c r="G16" s="84"/>
      <c r="H16" s="84"/>
      <c r="I16" s="84"/>
      <c r="J16" s="85"/>
      <c r="K16" s="12">
        <v>14.3</v>
      </c>
      <c r="M16" s="23"/>
      <c r="N16" t="s">
        <v>158</v>
      </c>
    </row>
    <row r="17" spans="1:16" ht="12.75" customHeight="1" x14ac:dyDescent="0.25">
      <c r="A17" s="6" t="s">
        <v>21</v>
      </c>
      <c r="B17" s="68" t="s">
        <v>22</v>
      </c>
      <c r="C17" s="69"/>
      <c r="D17" s="69"/>
      <c r="E17" s="69"/>
      <c r="F17" s="69"/>
      <c r="G17" s="69"/>
      <c r="H17" s="69"/>
      <c r="I17" s="69"/>
      <c r="J17" s="70"/>
      <c r="K17" s="7">
        <v>14.3</v>
      </c>
      <c r="M17" s="56"/>
      <c r="N17" t="s">
        <v>159</v>
      </c>
    </row>
    <row r="18" spans="1:16" ht="12.75" customHeight="1" x14ac:dyDescent="0.25">
      <c r="A18" s="6" t="s">
        <v>23</v>
      </c>
      <c r="B18" s="68" t="s">
        <v>24</v>
      </c>
      <c r="C18" s="69"/>
      <c r="D18" s="69"/>
      <c r="E18" s="69"/>
      <c r="F18" s="69"/>
      <c r="G18" s="69"/>
      <c r="H18" s="69"/>
      <c r="I18" s="69"/>
      <c r="J18" s="70"/>
      <c r="K18" s="7">
        <v>14.3</v>
      </c>
      <c r="M18" s="65"/>
      <c r="N18" s="58" t="s">
        <v>160</v>
      </c>
    </row>
    <row r="19" spans="1:16" ht="12.75" customHeight="1" x14ac:dyDescent="0.25">
      <c r="A19" s="6" t="s">
        <v>25</v>
      </c>
      <c r="B19" s="68" t="s">
        <v>26</v>
      </c>
      <c r="C19" s="69"/>
      <c r="D19" s="69"/>
      <c r="E19" s="69"/>
      <c r="F19" s="69"/>
      <c r="G19" s="69"/>
      <c r="H19" s="69"/>
      <c r="I19" s="69"/>
      <c r="J19" s="70"/>
      <c r="K19" s="7">
        <v>14.3</v>
      </c>
    </row>
    <row r="20" spans="1:16" ht="12.75" customHeight="1" x14ac:dyDescent="0.25">
      <c r="A20" s="6" t="s">
        <v>27</v>
      </c>
      <c r="B20" s="68" t="s">
        <v>22</v>
      </c>
      <c r="C20" s="69"/>
      <c r="D20" s="69"/>
      <c r="E20" s="69"/>
      <c r="F20" s="69"/>
      <c r="G20" s="69"/>
      <c r="H20" s="69"/>
      <c r="I20" s="69"/>
      <c r="J20" s="70"/>
      <c r="K20" s="7">
        <v>14.3</v>
      </c>
    </row>
    <row r="21" spans="1:16" ht="12.75" customHeight="1" x14ac:dyDescent="0.25">
      <c r="A21" s="6" t="s">
        <v>28</v>
      </c>
      <c r="B21" s="11" t="s">
        <v>29</v>
      </c>
      <c r="J21" s="13"/>
      <c r="K21" s="7">
        <v>14.2</v>
      </c>
    </row>
    <row r="22" spans="1:16" ht="12.75" customHeight="1" x14ac:dyDescent="0.25">
      <c r="A22" s="6" t="s">
        <v>30</v>
      </c>
      <c r="B22" s="71"/>
      <c r="C22" s="69"/>
      <c r="D22" s="69"/>
      <c r="E22" s="69"/>
      <c r="F22" s="69"/>
      <c r="G22" s="69"/>
      <c r="H22" s="69"/>
      <c r="I22" s="69"/>
      <c r="J22" s="70"/>
      <c r="K22" s="7"/>
      <c r="L22" s="3"/>
    </row>
    <row r="23" spans="1:16" ht="12.75" customHeight="1" thickBot="1" x14ac:dyDescent="0.3">
      <c r="A23" s="10" t="s">
        <v>31</v>
      </c>
      <c r="B23" s="72"/>
      <c r="C23" s="73"/>
      <c r="D23" s="73"/>
      <c r="E23" s="73"/>
      <c r="F23" s="73"/>
      <c r="G23" s="73"/>
      <c r="H23" s="73"/>
      <c r="I23" s="73"/>
      <c r="J23" s="74"/>
      <c r="K23" s="8"/>
    </row>
    <row r="24" spans="1:16" ht="12.75" customHeight="1" thickBot="1" x14ac:dyDescent="0.3">
      <c r="F24" s="14"/>
      <c r="G24" s="14"/>
      <c r="H24" s="14"/>
      <c r="I24" s="14"/>
      <c r="J24" s="3"/>
      <c r="K24" s="3"/>
      <c r="O24" s="75" t="s">
        <v>32</v>
      </c>
      <c r="P24" s="76"/>
    </row>
    <row r="25" spans="1:16" ht="69" customHeight="1" thickBot="1" x14ac:dyDescent="0.3">
      <c r="A25" s="15" t="s">
        <v>33</v>
      </c>
      <c r="B25" s="15" t="s">
        <v>34</v>
      </c>
      <c r="C25" s="15" t="s">
        <v>35</v>
      </c>
      <c r="D25" s="15" t="s">
        <v>36</v>
      </c>
      <c r="E25" s="15" t="s">
        <v>37</v>
      </c>
      <c r="F25" s="15" t="s">
        <v>38</v>
      </c>
      <c r="G25" s="15" t="s">
        <v>39</v>
      </c>
      <c r="H25" s="15" t="s">
        <v>40</v>
      </c>
      <c r="I25" s="15" t="s">
        <v>41</v>
      </c>
      <c r="J25" s="15" t="s">
        <v>42</v>
      </c>
      <c r="K25" s="16" t="s">
        <v>43</v>
      </c>
      <c r="L25" s="17" t="s">
        <v>44</v>
      </c>
      <c r="M25" s="18" t="s">
        <v>45</v>
      </c>
      <c r="N25" s="19">
        <f>SUM(K26:K139)</f>
        <v>14.299999999999999</v>
      </c>
      <c r="O25" s="66">
        <f>L48+L62+L77+L94+L109+L119+L85+L35</f>
        <v>6.5000000000000009</v>
      </c>
      <c r="P25" s="67">
        <f>O25/N25</f>
        <v>0.45454545454545464</v>
      </c>
    </row>
    <row r="26" spans="1:16" ht="12.75" customHeight="1" x14ac:dyDescent="0.25">
      <c r="A26" s="6" t="s">
        <v>46</v>
      </c>
      <c r="B26" s="20" t="s">
        <v>47</v>
      </c>
      <c r="C26" s="21">
        <v>1</v>
      </c>
      <c r="D26" s="21" t="s">
        <v>48</v>
      </c>
      <c r="E26" s="22" t="s">
        <v>49</v>
      </c>
      <c r="F26" s="21"/>
      <c r="G26" s="20" t="s">
        <v>50</v>
      </c>
      <c r="H26" s="20"/>
      <c r="I26" s="21">
        <v>1</v>
      </c>
      <c r="J26" s="21"/>
      <c r="K26" s="23">
        <v>0.8</v>
      </c>
    </row>
    <row r="27" spans="1:16" ht="12.75" customHeight="1" x14ac:dyDescent="0.25">
      <c r="A27" s="6"/>
      <c r="B27" s="20"/>
      <c r="C27" s="21"/>
      <c r="D27" s="21"/>
      <c r="E27" s="20"/>
      <c r="F27" s="21"/>
      <c r="G27" s="20"/>
      <c r="H27" s="20"/>
      <c r="I27" s="21"/>
      <c r="J27" s="21"/>
      <c r="K27" s="24"/>
      <c r="O27" s="25"/>
    </row>
    <row r="28" spans="1:16" ht="12.75" customHeight="1" x14ac:dyDescent="0.25">
      <c r="A28" s="6"/>
      <c r="B28" s="20"/>
      <c r="C28" s="21"/>
      <c r="D28" s="21"/>
      <c r="E28" s="22"/>
      <c r="F28" s="21"/>
      <c r="G28" s="20"/>
      <c r="H28" s="20"/>
      <c r="I28" s="21"/>
      <c r="J28" s="21"/>
      <c r="K28" s="24"/>
    </row>
    <row r="29" spans="1:16" ht="12.75" customHeight="1" x14ac:dyDescent="0.25">
      <c r="A29" s="6" t="s">
        <v>51</v>
      </c>
      <c r="B29" s="20" t="s">
        <v>52</v>
      </c>
      <c r="C29" s="21">
        <v>1</v>
      </c>
      <c r="D29" s="21" t="s">
        <v>48</v>
      </c>
      <c r="E29" s="20" t="s">
        <v>53</v>
      </c>
      <c r="F29" s="21"/>
      <c r="G29" s="20" t="s">
        <v>54</v>
      </c>
      <c r="H29" s="20"/>
      <c r="I29" s="21">
        <v>2</v>
      </c>
      <c r="J29" s="21"/>
      <c r="K29" s="23">
        <v>0.5</v>
      </c>
    </row>
    <row r="30" spans="1:16" ht="12.75" customHeight="1" x14ac:dyDescent="0.25">
      <c r="A30" s="6"/>
      <c r="B30" s="20"/>
      <c r="C30" s="21"/>
      <c r="D30" s="21"/>
      <c r="E30" s="20"/>
      <c r="F30" s="21"/>
      <c r="G30" s="20" t="s">
        <v>55</v>
      </c>
      <c r="H30" s="20"/>
      <c r="I30" s="21"/>
      <c r="J30" s="21"/>
      <c r="K30" s="24"/>
    </row>
    <row r="31" spans="1:16" ht="12.75" customHeight="1" x14ac:dyDescent="0.25">
      <c r="A31" s="6"/>
      <c r="B31" s="20"/>
      <c r="C31" s="21"/>
      <c r="D31" s="21"/>
      <c r="E31" s="20"/>
      <c r="F31" s="21"/>
      <c r="G31" s="20" t="s">
        <v>56</v>
      </c>
      <c r="H31" s="20"/>
      <c r="I31" s="21"/>
      <c r="J31" s="21"/>
      <c r="K31" s="24"/>
    </row>
    <row r="32" spans="1:16" ht="12.75" customHeight="1" x14ac:dyDescent="0.25">
      <c r="A32" s="6"/>
      <c r="B32" s="20"/>
      <c r="C32" s="21"/>
      <c r="D32" s="21"/>
      <c r="E32" s="20"/>
      <c r="F32" s="21"/>
      <c r="G32" s="20" t="s">
        <v>57</v>
      </c>
      <c r="H32" s="20"/>
      <c r="I32" s="21"/>
      <c r="J32" s="21"/>
      <c r="K32" s="24"/>
    </row>
    <row r="33" spans="1:13" ht="12.75" customHeight="1" x14ac:dyDescent="0.25">
      <c r="A33" s="6"/>
      <c r="B33" s="20"/>
      <c r="C33" s="21"/>
      <c r="D33" s="21"/>
      <c r="E33" s="20"/>
      <c r="F33" s="26"/>
      <c r="G33" s="22"/>
      <c r="H33" s="20"/>
      <c r="I33" s="21"/>
      <c r="J33" s="21"/>
      <c r="K33" s="24"/>
    </row>
    <row r="34" spans="1:13" ht="12.75" customHeight="1" x14ac:dyDescent="0.25">
      <c r="A34" s="6"/>
      <c r="B34" s="20"/>
      <c r="C34" s="21"/>
      <c r="D34" s="21"/>
      <c r="E34" s="20"/>
      <c r="F34" s="21"/>
      <c r="G34" s="20"/>
      <c r="H34" s="20"/>
      <c r="I34" s="21"/>
      <c r="J34" s="21"/>
      <c r="K34" s="24"/>
    </row>
    <row r="35" spans="1:13" ht="12.75" customHeight="1" x14ac:dyDescent="0.25">
      <c r="A35" s="6" t="s">
        <v>58</v>
      </c>
      <c r="B35" s="20" t="s">
        <v>59</v>
      </c>
      <c r="C35" s="21">
        <v>1</v>
      </c>
      <c r="D35" s="21" t="s">
        <v>48</v>
      </c>
      <c r="E35" s="27" t="s">
        <v>60</v>
      </c>
      <c r="F35" s="26"/>
      <c r="G35" s="55" t="s">
        <v>126</v>
      </c>
      <c r="H35" s="20"/>
      <c r="I35" s="21">
        <v>3</v>
      </c>
      <c r="J35" s="21"/>
      <c r="K35" s="24">
        <v>1</v>
      </c>
      <c r="L35" s="58">
        <v>1</v>
      </c>
      <c r="M35" s="29"/>
    </row>
    <row r="36" spans="1:13" ht="12.75" customHeight="1" x14ac:dyDescent="0.25">
      <c r="A36" s="6"/>
      <c r="B36" s="20"/>
      <c r="C36" s="21"/>
      <c r="D36" s="21"/>
      <c r="E36" s="20"/>
      <c r="F36" s="21"/>
      <c r="G36" s="55" t="s">
        <v>127</v>
      </c>
      <c r="H36" s="20"/>
      <c r="I36" s="21"/>
      <c r="J36" s="21"/>
      <c r="K36" s="24"/>
      <c r="L36" s="58" t="s">
        <v>129</v>
      </c>
      <c r="M36" s="59"/>
    </row>
    <row r="37" spans="1:13" ht="12.75" customHeight="1" x14ac:dyDescent="0.25">
      <c r="A37" s="6"/>
      <c r="B37" s="20"/>
      <c r="C37" s="21"/>
      <c r="D37" s="21"/>
      <c r="E37" s="20"/>
      <c r="F37" s="21"/>
      <c r="G37" s="56" t="s">
        <v>61</v>
      </c>
      <c r="H37" s="20"/>
      <c r="I37" s="21"/>
      <c r="J37" s="21"/>
      <c r="K37" s="24"/>
      <c r="L37" s="58" t="s">
        <v>128</v>
      </c>
    </row>
    <row r="38" spans="1:13" ht="12.75" customHeight="1" x14ac:dyDescent="0.25">
      <c r="A38" s="6"/>
      <c r="B38" s="20"/>
      <c r="C38" s="21"/>
      <c r="D38" s="21"/>
      <c r="E38" s="22"/>
      <c r="F38" s="21"/>
      <c r="G38" s="57" t="s">
        <v>62</v>
      </c>
      <c r="H38" s="20"/>
      <c r="I38" s="21"/>
      <c r="J38" s="21"/>
      <c r="K38" s="24"/>
    </row>
    <row r="39" spans="1:13" ht="12.75" customHeight="1" x14ac:dyDescent="0.25">
      <c r="A39" s="6"/>
      <c r="B39" s="20"/>
      <c r="C39" s="21"/>
      <c r="D39" s="21"/>
      <c r="E39" s="20"/>
      <c r="F39" s="21"/>
      <c r="G39" s="57" t="s">
        <v>63</v>
      </c>
      <c r="H39" s="20"/>
      <c r="I39" s="21"/>
      <c r="J39" s="21"/>
      <c r="K39" s="24"/>
    </row>
    <row r="40" spans="1:13" ht="12.75" customHeight="1" x14ac:dyDescent="0.25">
      <c r="A40" s="6"/>
      <c r="B40" s="20"/>
      <c r="C40" s="21"/>
      <c r="D40" s="21"/>
      <c r="E40" s="22"/>
      <c r="F40" s="21"/>
      <c r="G40" s="57" t="s">
        <v>64</v>
      </c>
      <c r="H40" s="20"/>
      <c r="I40" s="21"/>
      <c r="J40" s="21"/>
      <c r="K40" s="24"/>
    </row>
    <row r="41" spans="1:13" ht="12.75" customHeight="1" x14ac:dyDescent="0.25">
      <c r="A41" s="6"/>
      <c r="B41" s="20"/>
      <c r="C41" s="21"/>
      <c r="D41" s="21"/>
      <c r="E41" s="22"/>
      <c r="F41" s="21"/>
      <c r="G41" s="57" t="s">
        <v>65</v>
      </c>
      <c r="H41" s="20"/>
      <c r="I41" s="21"/>
      <c r="J41" s="21"/>
      <c r="K41" s="24"/>
    </row>
    <row r="42" spans="1:13" ht="12.75" customHeight="1" x14ac:dyDescent="0.25">
      <c r="A42" s="6"/>
      <c r="B42" s="20"/>
      <c r="C42" s="21"/>
      <c r="D42" s="21"/>
      <c r="E42" s="22"/>
      <c r="F42" s="21"/>
      <c r="G42" s="57" t="s">
        <v>66</v>
      </c>
      <c r="H42" s="20"/>
      <c r="I42" s="21"/>
      <c r="J42" s="30"/>
      <c r="K42" s="24"/>
    </row>
    <row r="43" spans="1:13" ht="12.75" customHeight="1" x14ac:dyDescent="0.25">
      <c r="A43" s="6"/>
      <c r="B43" s="20"/>
      <c r="C43" s="21"/>
      <c r="D43" s="21"/>
      <c r="E43" s="22"/>
      <c r="F43" s="21"/>
      <c r="G43" s="56" t="s">
        <v>67</v>
      </c>
      <c r="H43" s="20"/>
      <c r="I43" s="21"/>
      <c r="J43" s="30"/>
      <c r="K43" s="24"/>
    </row>
    <row r="44" spans="1:13" ht="12.75" customHeight="1" x14ac:dyDescent="0.25">
      <c r="A44" s="6"/>
      <c r="B44" s="20"/>
      <c r="C44" s="21"/>
      <c r="D44" s="21"/>
      <c r="E44" s="22"/>
      <c r="F44" s="21"/>
      <c r="H44" s="20"/>
      <c r="I44" s="21"/>
      <c r="J44" s="30"/>
      <c r="K44" s="24"/>
    </row>
    <row r="45" spans="1:13" ht="12.75" customHeight="1" x14ac:dyDescent="0.25">
      <c r="A45" s="6"/>
      <c r="B45" s="20"/>
      <c r="C45" s="21"/>
      <c r="D45" s="21"/>
      <c r="E45" s="22"/>
      <c r="F45" s="21"/>
      <c r="G45" s="22"/>
      <c r="H45" s="20"/>
      <c r="I45" s="21"/>
      <c r="J45" s="30"/>
      <c r="K45" s="24"/>
    </row>
    <row r="46" spans="1:13" ht="12.75" customHeight="1" x14ac:dyDescent="0.25">
      <c r="A46" s="6"/>
      <c r="B46" s="20"/>
      <c r="C46" s="21"/>
      <c r="D46" s="21"/>
      <c r="E46" s="22"/>
      <c r="F46" s="21"/>
      <c r="G46" s="22"/>
      <c r="H46" s="20"/>
      <c r="I46" s="21"/>
      <c r="J46" s="30"/>
      <c r="K46" s="24"/>
    </row>
    <row r="47" spans="1:13" ht="12.75" customHeight="1" x14ac:dyDescent="0.25">
      <c r="A47" s="6"/>
      <c r="B47" s="20"/>
      <c r="C47" s="21"/>
      <c r="D47" s="21"/>
      <c r="E47" s="20"/>
      <c r="F47" s="21"/>
      <c r="G47" s="22"/>
      <c r="H47" s="20"/>
      <c r="I47" s="21"/>
      <c r="J47" s="24"/>
      <c r="K47" s="24"/>
    </row>
    <row r="48" spans="1:13" ht="12.75" customHeight="1" x14ac:dyDescent="0.25">
      <c r="A48" s="6" t="s">
        <v>68</v>
      </c>
      <c r="B48" s="20" t="s">
        <v>69</v>
      </c>
      <c r="C48" s="21">
        <v>1</v>
      </c>
      <c r="D48" s="21" t="s">
        <v>48</v>
      </c>
      <c r="E48" s="34" t="s">
        <v>80</v>
      </c>
      <c r="F48" s="21"/>
      <c r="G48" s="34" t="s">
        <v>81</v>
      </c>
      <c r="H48" s="20"/>
      <c r="I48" s="21">
        <v>4</v>
      </c>
      <c r="J48" s="21"/>
      <c r="K48" s="36">
        <v>1</v>
      </c>
      <c r="L48" s="31">
        <v>1</v>
      </c>
    </row>
    <row r="49" spans="1:12" ht="12.75" customHeight="1" x14ac:dyDescent="0.25">
      <c r="A49" s="6"/>
      <c r="B49" s="20"/>
      <c r="C49" s="21"/>
      <c r="D49" s="21"/>
      <c r="E49" s="22"/>
      <c r="F49" s="21"/>
      <c r="G49" s="34" t="s">
        <v>82</v>
      </c>
      <c r="H49" s="20"/>
      <c r="I49" s="21"/>
      <c r="J49" s="21"/>
      <c r="K49" s="24"/>
    </row>
    <row r="50" spans="1:12" ht="12.75" customHeight="1" x14ac:dyDescent="0.25">
      <c r="A50" s="6"/>
      <c r="B50" s="20"/>
      <c r="C50" s="21"/>
      <c r="D50" s="21"/>
      <c r="E50" s="22"/>
      <c r="F50" s="21"/>
      <c r="G50" s="34" t="s">
        <v>83</v>
      </c>
      <c r="H50" s="20"/>
      <c r="I50" s="21"/>
      <c r="J50" s="21"/>
      <c r="K50" s="24"/>
    </row>
    <row r="51" spans="1:12" ht="12.75" customHeight="1" x14ac:dyDescent="0.25">
      <c r="A51" s="6"/>
      <c r="B51" s="20"/>
      <c r="C51" s="21"/>
      <c r="D51" s="21"/>
      <c r="E51" s="22"/>
      <c r="F51" s="21"/>
      <c r="G51" s="34" t="s">
        <v>84</v>
      </c>
      <c r="H51" s="20"/>
      <c r="I51" s="21"/>
      <c r="J51" s="21"/>
      <c r="K51" s="24"/>
    </row>
    <row r="52" spans="1:12" ht="12.75" customHeight="1" x14ac:dyDescent="0.25">
      <c r="A52" s="6"/>
      <c r="B52" s="20"/>
      <c r="C52" s="21"/>
      <c r="D52" s="21"/>
      <c r="E52" s="22"/>
      <c r="F52" s="21"/>
      <c r="G52" s="34" t="s">
        <v>119</v>
      </c>
      <c r="H52" s="20"/>
      <c r="I52" s="21"/>
      <c r="J52" s="21"/>
      <c r="K52" s="24"/>
    </row>
    <row r="53" spans="1:12" ht="12.75" customHeight="1" x14ac:dyDescent="0.25">
      <c r="A53" s="6"/>
      <c r="B53" s="20"/>
      <c r="C53" s="21"/>
      <c r="D53" s="21"/>
      <c r="E53" s="22"/>
      <c r="F53" s="21"/>
      <c r="G53" s="34" t="s">
        <v>131</v>
      </c>
      <c r="H53" s="20"/>
      <c r="I53" s="21"/>
      <c r="J53" s="21"/>
      <c r="K53" s="24"/>
    </row>
    <row r="54" spans="1:12" ht="12.75" customHeight="1" x14ac:dyDescent="0.25">
      <c r="A54" s="44"/>
      <c r="B54" s="45"/>
      <c r="C54" s="46"/>
      <c r="D54" s="46"/>
      <c r="E54" s="45"/>
      <c r="F54" s="46"/>
      <c r="G54" s="47"/>
      <c r="H54" s="45"/>
      <c r="I54" s="46"/>
      <c r="J54" s="46"/>
      <c r="K54" s="48"/>
    </row>
    <row r="55" spans="1:12" ht="12.75" customHeight="1" x14ac:dyDescent="0.25">
      <c r="A55" s="44"/>
      <c r="B55" s="45"/>
      <c r="C55" s="46"/>
      <c r="D55" s="46"/>
      <c r="E55" s="45"/>
      <c r="F55" s="46"/>
      <c r="G55" s="47"/>
      <c r="H55" s="45"/>
      <c r="I55" s="46"/>
      <c r="J55" s="46"/>
      <c r="K55" s="48"/>
    </row>
    <row r="56" spans="1:12" ht="12.75" customHeight="1" x14ac:dyDescent="0.25">
      <c r="A56" s="6" t="s">
        <v>70</v>
      </c>
      <c r="B56" s="20" t="s">
        <v>71</v>
      </c>
      <c r="C56" s="21">
        <v>1</v>
      </c>
      <c r="D56" s="21" t="s">
        <v>48</v>
      </c>
      <c r="E56" s="32" t="s">
        <v>72</v>
      </c>
      <c r="F56" s="21"/>
      <c r="G56" s="22" t="s">
        <v>73</v>
      </c>
      <c r="H56" s="20"/>
      <c r="I56" s="21">
        <v>5</v>
      </c>
      <c r="J56" s="33"/>
      <c r="K56" s="23">
        <v>1</v>
      </c>
    </row>
    <row r="57" spans="1:12" ht="12.75" customHeight="1" x14ac:dyDescent="0.25">
      <c r="A57" s="6"/>
      <c r="B57" s="20"/>
      <c r="C57" s="21"/>
      <c r="D57" s="21"/>
      <c r="E57" s="22"/>
      <c r="F57" s="21"/>
      <c r="G57" s="22" t="s">
        <v>74</v>
      </c>
      <c r="H57" s="20"/>
      <c r="I57" s="21"/>
      <c r="J57" s="33"/>
      <c r="K57" s="24"/>
    </row>
    <row r="58" spans="1:12" ht="12.75" customHeight="1" x14ac:dyDescent="0.25">
      <c r="A58" s="6"/>
      <c r="B58" s="20"/>
      <c r="C58" s="21"/>
      <c r="D58" s="21"/>
      <c r="E58" s="22"/>
      <c r="F58" s="21"/>
      <c r="G58" s="22" t="s">
        <v>75</v>
      </c>
      <c r="H58" s="20"/>
      <c r="I58" s="21"/>
      <c r="J58" s="33"/>
      <c r="K58" s="24"/>
    </row>
    <row r="59" spans="1:12" ht="12.75" customHeight="1" x14ac:dyDescent="0.25">
      <c r="A59" s="6"/>
      <c r="B59" s="20"/>
      <c r="C59" s="21"/>
      <c r="D59" s="21"/>
      <c r="E59" s="22"/>
      <c r="F59" s="21"/>
      <c r="G59" s="22" t="s">
        <v>76</v>
      </c>
      <c r="H59" s="20"/>
      <c r="I59" s="21"/>
      <c r="J59" s="33"/>
      <c r="K59" s="24"/>
    </row>
    <row r="60" spans="1:12" ht="12.75" customHeight="1" x14ac:dyDescent="0.25">
      <c r="A60" s="6"/>
      <c r="B60" s="20"/>
      <c r="C60" s="21"/>
      <c r="D60" s="21"/>
      <c r="E60" s="22"/>
      <c r="F60" s="21"/>
      <c r="G60" s="22" t="s">
        <v>77</v>
      </c>
      <c r="H60" s="20"/>
      <c r="I60" s="21"/>
      <c r="J60" s="33"/>
      <c r="K60" s="24"/>
    </row>
    <row r="61" spans="1:12" ht="12.75" customHeight="1" x14ac:dyDescent="0.25">
      <c r="A61" s="6"/>
      <c r="B61" s="20"/>
      <c r="C61" s="21"/>
      <c r="D61" s="21"/>
      <c r="E61" s="22"/>
      <c r="F61" s="21"/>
      <c r="G61" s="22"/>
      <c r="H61" s="20"/>
      <c r="I61" s="21"/>
      <c r="J61" s="33"/>
      <c r="K61" s="24"/>
    </row>
    <row r="62" spans="1:12" ht="12.75" customHeight="1" x14ac:dyDescent="0.25">
      <c r="A62" s="6"/>
      <c r="B62" s="20"/>
      <c r="C62" s="21">
        <v>1</v>
      </c>
      <c r="D62" s="21" t="s">
        <v>48</v>
      </c>
      <c r="E62" s="34" t="s">
        <v>78</v>
      </c>
      <c r="F62" s="21"/>
      <c r="G62" s="54" t="s">
        <v>121</v>
      </c>
      <c r="H62" s="20"/>
      <c r="I62" s="21">
        <v>5</v>
      </c>
      <c r="J62" s="21"/>
      <c r="K62" s="35">
        <v>1.9</v>
      </c>
      <c r="L62" s="31">
        <v>1.2</v>
      </c>
    </row>
    <row r="63" spans="1:12" ht="12.75" customHeight="1" x14ac:dyDescent="0.25">
      <c r="A63" s="44"/>
      <c r="B63" s="45"/>
      <c r="C63" s="46"/>
      <c r="D63" s="46"/>
      <c r="E63" s="22"/>
      <c r="F63" s="46"/>
      <c r="G63" s="34" t="s">
        <v>138</v>
      </c>
      <c r="H63" s="45"/>
      <c r="I63" s="46"/>
      <c r="J63" s="46"/>
      <c r="K63" s="24"/>
    </row>
    <row r="64" spans="1:12" ht="12.75" customHeight="1" x14ac:dyDescent="0.25">
      <c r="A64" s="44"/>
      <c r="B64" s="45"/>
      <c r="C64" s="46"/>
      <c r="D64" s="46"/>
      <c r="E64" s="47"/>
      <c r="F64" s="46"/>
      <c r="G64" s="34" t="s">
        <v>139</v>
      </c>
      <c r="H64" s="45"/>
      <c r="I64" s="46"/>
      <c r="J64" s="46"/>
      <c r="K64" s="24"/>
    </row>
    <row r="65" spans="1:12" ht="12.75" customHeight="1" x14ac:dyDescent="0.25">
      <c r="A65" s="6"/>
      <c r="B65" s="20"/>
      <c r="C65" s="21"/>
      <c r="D65" s="21"/>
      <c r="E65" s="22"/>
      <c r="F65" s="21"/>
      <c r="G65" s="34" t="s">
        <v>122</v>
      </c>
      <c r="H65" s="20"/>
      <c r="I65" s="21"/>
      <c r="J65" s="21"/>
      <c r="K65" s="24"/>
    </row>
    <row r="66" spans="1:12" ht="12.75" customHeight="1" x14ac:dyDescent="0.25">
      <c r="A66" s="6"/>
      <c r="B66" s="20"/>
      <c r="C66" s="21"/>
      <c r="D66" s="21"/>
      <c r="E66" s="22"/>
      <c r="F66" s="21"/>
      <c r="G66" s="54" t="s">
        <v>132</v>
      </c>
      <c r="H66" s="20"/>
      <c r="I66" s="21"/>
      <c r="J66" s="21"/>
      <c r="K66" s="24"/>
    </row>
    <row r="67" spans="1:12" ht="12.75" customHeight="1" x14ac:dyDescent="0.25">
      <c r="A67" s="6"/>
      <c r="B67" s="20"/>
      <c r="C67" s="21"/>
      <c r="D67" s="21"/>
      <c r="E67" s="22"/>
      <c r="F67" s="21"/>
      <c r="G67" s="54" t="s">
        <v>133</v>
      </c>
      <c r="H67" s="20"/>
      <c r="I67" s="21"/>
      <c r="J67" s="21"/>
      <c r="K67" s="24"/>
    </row>
    <row r="68" spans="1:12" ht="12.75" customHeight="1" x14ac:dyDescent="0.25">
      <c r="A68" s="6"/>
      <c r="B68" s="20"/>
      <c r="C68" s="21"/>
      <c r="D68" s="21"/>
      <c r="E68" s="22"/>
      <c r="F68" s="21"/>
      <c r="G68" s="34" t="s">
        <v>151</v>
      </c>
      <c r="H68" s="20"/>
      <c r="I68" s="21"/>
      <c r="J68" s="21"/>
      <c r="K68" s="24"/>
    </row>
    <row r="69" spans="1:12" ht="12.75" customHeight="1" x14ac:dyDescent="0.25">
      <c r="A69" s="6"/>
      <c r="B69" s="20"/>
      <c r="C69" s="21"/>
      <c r="D69" s="21"/>
      <c r="E69" s="22"/>
      <c r="F69" s="21"/>
      <c r="G69" s="34" t="s">
        <v>152</v>
      </c>
      <c r="H69" s="20"/>
      <c r="I69" s="21"/>
      <c r="J69" s="21"/>
      <c r="K69" s="24"/>
    </row>
    <row r="70" spans="1:12" ht="12.75" customHeight="1" x14ac:dyDescent="0.25">
      <c r="A70" s="6"/>
      <c r="B70" s="20"/>
      <c r="C70" s="21"/>
      <c r="D70" s="21"/>
      <c r="E70" s="22"/>
      <c r="F70" s="21"/>
      <c r="G70" s="34" t="s">
        <v>79</v>
      </c>
      <c r="H70" s="20"/>
      <c r="I70" s="21"/>
      <c r="J70" s="21"/>
      <c r="K70" s="24"/>
    </row>
    <row r="71" spans="1:12" ht="12.75" customHeight="1" x14ac:dyDescent="0.25">
      <c r="A71" s="6"/>
      <c r="B71" s="20"/>
      <c r="C71" s="21"/>
      <c r="D71" s="21"/>
      <c r="E71" s="22"/>
      <c r="F71" s="21"/>
      <c r="G71" s="34" t="s">
        <v>135</v>
      </c>
      <c r="H71" s="20"/>
      <c r="I71" s="21"/>
      <c r="J71" s="21"/>
      <c r="K71" s="24"/>
    </row>
    <row r="72" spans="1:12" ht="12.75" customHeight="1" x14ac:dyDescent="0.25">
      <c r="A72" s="6"/>
      <c r="B72" s="20"/>
      <c r="C72" s="21"/>
      <c r="D72" s="21"/>
      <c r="E72" s="22"/>
      <c r="F72" s="21"/>
      <c r="G72" s="34" t="s">
        <v>134</v>
      </c>
      <c r="H72" s="20"/>
      <c r="I72" s="21"/>
      <c r="J72" s="21"/>
      <c r="K72" s="24"/>
    </row>
    <row r="73" spans="1:12" ht="12.75" customHeight="1" x14ac:dyDescent="0.25">
      <c r="A73" s="6"/>
      <c r="B73" s="20"/>
      <c r="C73" s="21"/>
      <c r="D73" s="21"/>
      <c r="E73" s="22"/>
      <c r="F73" s="21"/>
      <c r="G73" s="34" t="s">
        <v>137</v>
      </c>
      <c r="H73" s="20"/>
      <c r="I73" s="21"/>
      <c r="J73" s="21"/>
      <c r="K73" s="24"/>
    </row>
    <row r="74" spans="1:12" ht="12.75" customHeight="1" x14ac:dyDescent="0.25">
      <c r="A74" s="6"/>
      <c r="B74" s="20"/>
      <c r="C74" s="21"/>
      <c r="D74" s="21"/>
      <c r="E74" s="22"/>
      <c r="F74" s="21"/>
      <c r="G74" s="54" t="s">
        <v>136</v>
      </c>
      <c r="H74" s="20"/>
      <c r="I74" s="21"/>
      <c r="J74" s="21"/>
      <c r="K74" s="24"/>
    </row>
    <row r="75" spans="1:12" ht="12.75" customHeight="1" x14ac:dyDescent="0.25">
      <c r="A75" s="6"/>
      <c r="B75" s="20"/>
      <c r="C75" s="21"/>
      <c r="D75" s="21"/>
      <c r="E75" s="22"/>
      <c r="F75" s="21"/>
      <c r="G75" s="22"/>
      <c r="H75" s="20"/>
      <c r="I75" s="21"/>
      <c r="J75" s="21"/>
      <c r="K75" s="24"/>
    </row>
    <row r="76" spans="1:12" ht="12.75" customHeight="1" x14ac:dyDescent="0.25">
      <c r="A76" s="6"/>
      <c r="B76" s="20"/>
      <c r="C76" s="21"/>
      <c r="D76" s="21"/>
      <c r="E76" s="22"/>
      <c r="F76" s="21"/>
      <c r="G76" s="22"/>
      <c r="H76" s="20"/>
      <c r="I76" s="21"/>
      <c r="J76" s="21"/>
      <c r="K76" s="24"/>
    </row>
    <row r="77" spans="1:12" ht="12.75" customHeight="1" x14ac:dyDescent="0.25">
      <c r="A77" s="6"/>
      <c r="B77" s="20"/>
      <c r="C77" s="21">
        <v>1</v>
      </c>
      <c r="D77" s="21" t="s">
        <v>48</v>
      </c>
      <c r="E77" s="34" t="s">
        <v>85</v>
      </c>
      <c r="F77" s="21"/>
      <c r="G77" s="64" t="s">
        <v>140</v>
      </c>
      <c r="H77" s="20"/>
      <c r="I77" s="21">
        <v>5</v>
      </c>
      <c r="J77" s="21"/>
      <c r="K77" s="35">
        <v>1.4</v>
      </c>
      <c r="L77" s="31">
        <v>0.6</v>
      </c>
    </row>
    <row r="78" spans="1:12" ht="12.75" customHeight="1" x14ac:dyDescent="0.25">
      <c r="A78" s="6"/>
      <c r="B78" s="20"/>
      <c r="C78" s="21"/>
      <c r="D78" s="21"/>
      <c r="E78" s="22"/>
      <c r="F78" s="21"/>
      <c r="G78" s="64" t="s">
        <v>141</v>
      </c>
      <c r="H78" s="20"/>
      <c r="I78" s="21"/>
      <c r="J78" s="21"/>
      <c r="K78" s="24"/>
    </row>
    <row r="79" spans="1:12" ht="12.75" customHeight="1" x14ac:dyDescent="0.25">
      <c r="A79" s="6"/>
      <c r="B79" s="20"/>
      <c r="C79" s="21"/>
      <c r="D79" s="21"/>
      <c r="E79" s="22"/>
      <c r="F79" s="21"/>
      <c r="G79" s="28" t="s">
        <v>145</v>
      </c>
      <c r="H79" s="20"/>
      <c r="I79" s="21"/>
      <c r="J79" s="21"/>
      <c r="K79" s="24"/>
    </row>
    <row r="80" spans="1:12" ht="12.75" customHeight="1" x14ac:dyDescent="0.25">
      <c r="A80" s="6"/>
      <c r="B80" s="20"/>
      <c r="C80" s="21"/>
      <c r="D80" s="21"/>
      <c r="E80" s="22"/>
      <c r="F80" s="21"/>
      <c r="G80" s="54" t="s">
        <v>142</v>
      </c>
      <c r="H80" s="20"/>
      <c r="I80" s="21"/>
      <c r="J80" s="21"/>
      <c r="K80" s="24"/>
    </row>
    <row r="81" spans="1:12" ht="12.75" customHeight="1" x14ac:dyDescent="0.25">
      <c r="A81" s="44"/>
      <c r="B81" s="45"/>
      <c r="C81" s="46"/>
      <c r="D81" s="46"/>
      <c r="E81" s="47"/>
      <c r="F81" s="46"/>
      <c r="G81" s="54" t="s">
        <v>143</v>
      </c>
      <c r="H81" s="45"/>
      <c r="I81" s="46"/>
      <c r="J81" s="46"/>
      <c r="K81" s="48"/>
    </row>
    <row r="82" spans="1:12" ht="12.75" customHeight="1" x14ac:dyDescent="0.25">
      <c r="A82" s="6"/>
      <c r="B82" s="20"/>
      <c r="C82" s="21"/>
      <c r="D82" s="21"/>
      <c r="E82" s="22"/>
      <c r="F82" s="21"/>
      <c r="G82" s="28" t="s">
        <v>146</v>
      </c>
      <c r="H82" s="20"/>
      <c r="I82" s="21"/>
      <c r="J82" s="21"/>
      <c r="K82" s="24"/>
    </row>
    <row r="83" spans="1:12" ht="12.75" customHeight="1" x14ac:dyDescent="0.25">
      <c r="A83" s="44"/>
      <c r="B83" s="45"/>
      <c r="C83" s="46"/>
      <c r="D83" s="46"/>
      <c r="E83" s="47"/>
      <c r="F83" s="46"/>
      <c r="H83" s="45"/>
      <c r="I83" s="46"/>
      <c r="J83" s="46"/>
      <c r="K83" s="48"/>
    </row>
    <row r="84" spans="1:12" ht="12.75" customHeight="1" x14ac:dyDescent="0.25">
      <c r="A84" s="44"/>
      <c r="B84" s="45"/>
      <c r="C84" s="46"/>
      <c r="D84" s="46"/>
      <c r="E84" s="47"/>
      <c r="F84" s="46"/>
      <c r="H84" s="45"/>
      <c r="I84" s="46"/>
      <c r="J84" s="46"/>
      <c r="K84" s="48"/>
    </row>
    <row r="85" spans="1:12" ht="12.75" customHeight="1" x14ac:dyDescent="0.25">
      <c r="A85" s="6"/>
      <c r="B85" s="20"/>
      <c r="C85" s="21">
        <v>1</v>
      </c>
      <c r="D85" s="21" t="s">
        <v>48</v>
      </c>
      <c r="E85" s="34" t="s">
        <v>144</v>
      </c>
      <c r="F85" s="21"/>
      <c r="G85" s="28" t="s">
        <v>147</v>
      </c>
      <c r="H85" s="20"/>
      <c r="I85" s="21">
        <v>5</v>
      </c>
      <c r="J85" s="21"/>
      <c r="K85" s="35">
        <v>1.2</v>
      </c>
      <c r="L85" s="31">
        <v>1.2</v>
      </c>
    </row>
    <row r="86" spans="1:12" ht="12.75" customHeight="1" x14ac:dyDescent="0.25">
      <c r="A86" s="6"/>
      <c r="B86" s="20"/>
      <c r="C86" s="21"/>
      <c r="D86" s="21"/>
      <c r="E86" s="22"/>
      <c r="F86" s="21"/>
      <c r="G86" s="28" t="s">
        <v>148</v>
      </c>
      <c r="H86" s="20"/>
      <c r="I86" s="21"/>
      <c r="J86" s="21"/>
      <c r="K86" s="24"/>
    </row>
    <row r="87" spans="1:12" ht="12.75" customHeight="1" x14ac:dyDescent="0.25">
      <c r="A87" s="6"/>
      <c r="B87" s="20"/>
      <c r="C87" s="21"/>
      <c r="D87" s="21"/>
      <c r="E87" s="22"/>
      <c r="F87" s="21"/>
      <c r="G87" s="28" t="s">
        <v>86</v>
      </c>
      <c r="H87" s="20"/>
      <c r="I87" s="21"/>
      <c r="J87" s="21"/>
      <c r="K87" s="24"/>
    </row>
    <row r="88" spans="1:12" ht="12.75" customHeight="1" x14ac:dyDescent="0.25">
      <c r="A88" s="44"/>
      <c r="B88" s="45"/>
      <c r="C88" s="46"/>
      <c r="D88" s="46"/>
      <c r="E88" s="47"/>
      <c r="F88" s="46"/>
      <c r="G88" s="28" t="s">
        <v>125</v>
      </c>
      <c r="H88" s="45"/>
      <c r="I88" s="46"/>
      <c r="J88" s="46"/>
      <c r="K88" s="48"/>
    </row>
    <row r="89" spans="1:12" ht="12.75" customHeight="1" x14ac:dyDescent="0.25">
      <c r="A89" s="6"/>
      <c r="B89" s="20"/>
      <c r="C89" s="21"/>
      <c r="D89" s="21"/>
      <c r="E89" s="22"/>
      <c r="F89" s="21"/>
      <c r="G89" s="28" t="s">
        <v>149</v>
      </c>
      <c r="H89" s="20"/>
      <c r="I89" s="21"/>
      <c r="J89" s="21"/>
      <c r="K89" s="24"/>
    </row>
    <row r="90" spans="1:12" ht="12.75" customHeight="1" x14ac:dyDescent="0.25">
      <c r="A90" s="6"/>
      <c r="B90" s="20"/>
      <c r="C90" s="21"/>
      <c r="D90" s="21"/>
      <c r="E90" s="22"/>
      <c r="F90" s="21"/>
      <c r="G90" s="28" t="s">
        <v>87</v>
      </c>
      <c r="H90" s="20"/>
      <c r="I90" s="21"/>
      <c r="J90" s="21"/>
      <c r="K90" s="24"/>
    </row>
    <row r="91" spans="1:12" ht="12.75" customHeight="1" x14ac:dyDescent="0.25">
      <c r="A91" s="44"/>
      <c r="B91" s="45"/>
      <c r="C91" s="46"/>
      <c r="D91" s="46"/>
      <c r="E91" s="47"/>
      <c r="F91" s="46"/>
      <c r="H91" s="45"/>
      <c r="I91" s="46"/>
      <c r="J91" s="46"/>
      <c r="K91" s="48"/>
    </row>
    <row r="92" spans="1:12" ht="12.75" customHeight="1" x14ac:dyDescent="0.25">
      <c r="A92" s="6"/>
      <c r="B92" s="20"/>
      <c r="C92" s="21"/>
      <c r="D92" s="21"/>
      <c r="E92" s="22"/>
      <c r="F92" s="21"/>
      <c r="H92" s="20"/>
      <c r="I92" s="21"/>
      <c r="J92" s="21"/>
      <c r="K92" s="24"/>
    </row>
    <row r="93" spans="1:12" ht="12.75" customHeight="1" x14ac:dyDescent="0.25">
      <c r="A93" s="6"/>
      <c r="B93" s="20"/>
      <c r="C93" s="21"/>
      <c r="D93" s="21"/>
      <c r="E93" s="22"/>
      <c r="F93" s="21"/>
      <c r="G93" s="22"/>
      <c r="H93" s="20"/>
      <c r="I93" s="21"/>
      <c r="J93" s="21"/>
      <c r="K93" s="24"/>
    </row>
    <row r="94" spans="1:12" ht="12.75" customHeight="1" x14ac:dyDescent="0.25">
      <c r="A94" s="6"/>
      <c r="B94" s="20"/>
      <c r="C94" s="21">
        <v>1</v>
      </c>
      <c r="D94" s="21" t="s">
        <v>48</v>
      </c>
      <c r="E94" s="34" t="s">
        <v>88</v>
      </c>
      <c r="F94" s="21"/>
      <c r="G94" s="63" t="s">
        <v>89</v>
      </c>
      <c r="H94" s="20"/>
      <c r="I94" s="21">
        <v>5</v>
      </c>
      <c r="J94" s="21"/>
      <c r="K94" s="24">
        <v>0.7</v>
      </c>
      <c r="L94" s="31">
        <v>0.6</v>
      </c>
    </row>
    <row r="95" spans="1:12" ht="12.75" customHeight="1" x14ac:dyDescent="0.25">
      <c r="A95" s="6"/>
      <c r="B95" s="20"/>
      <c r="C95" s="21"/>
      <c r="D95" s="21"/>
      <c r="E95" s="22"/>
      <c r="F95" s="21"/>
      <c r="G95" s="28" t="s">
        <v>90</v>
      </c>
      <c r="H95" s="20"/>
      <c r="I95" s="21"/>
      <c r="J95" s="21"/>
      <c r="K95" s="24"/>
    </row>
    <row r="96" spans="1:12" ht="12.75" customHeight="1" x14ac:dyDescent="0.25">
      <c r="A96" s="6"/>
      <c r="B96" s="20"/>
      <c r="C96" s="21"/>
      <c r="D96" s="21"/>
      <c r="E96" s="22"/>
      <c r="F96" s="21"/>
      <c r="G96" s="28" t="s">
        <v>91</v>
      </c>
      <c r="H96" s="20"/>
      <c r="I96" s="21"/>
      <c r="J96" s="21"/>
      <c r="K96" s="24"/>
    </row>
    <row r="97" spans="1:25" ht="12.75" customHeight="1" x14ac:dyDescent="0.25">
      <c r="A97" s="44"/>
      <c r="B97" s="45"/>
      <c r="C97" s="46"/>
      <c r="D97" s="46"/>
      <c r="E97" s="47"/>
      <c r="F97" s="46"/>
      <c r="G97" s="28" t="s">
        <v>124</v>
      </c>
      <c r="H97" s="45"/>
      <c r="I97" s="46"/>
      <c r="J97" s="46"/>
      <c r="K97" s="48"/>
    </row>
    <row r="98" spans="1:25" ht="12.75" customHeight="1" x14ac:dyDescent="0.25">
      <c r="A98" s="6"/>
      <c r="B98" s="20"/>
      <c r="C98" s="21"/>
      <c r="D98" s="21"/>
      <c r="E98" s="22"/>
      <c r="F98" s="21"/>
      <c r="G98" s="22"/>
      <c r="H98" s="20"/>
      <c r="I98" s="21"/>
      <c r="J98" s="21"/>
      <c r="K98" s="24"/>
    </row>
    <row r="99" spans="1:25" ht="12.75" customHeight="1" x14ac:dyDescent="0.25">
      <c r="A99" s="6"/>
      <c r="B99" s="20"/>
      <c r="C99" s="21"/>
      <c r="D99" s="21"/>
      <c r="E99" s="22"/>
      <c r="F99" s="21"/>
      <c r="G99" s="22"/>
      <c r="H99" s="20"/>
      <c r="I99" s="21"/>
      <c r="J99" s="21"/>
      <c r="K99" s="24"/>
    </row>
    <row r="100" spans="1:25" ht="12.75" customHeight="1" x14ac:dyDescent="0.25">
      <c r="A100" s="6"/>
      <c r="B100" s="20"/>
      <c r="C100" s="65">
        <v>1</v>
      </c>
      <c r="D100" s="65" t="s">
        <v>48</v>
      </c>
      <c r="E100" s="65" t="s">
        <v>60</v>
      </c>
      <c r="F100" s="65"/>
      <c r="G100" s="65" t="s">
        <v>92</v>
      </c>
      <c r="H100" s="65"/>
      <c r="I100" s="65">
        <v>5</v>
      </c>
      <c r="J100" s="65"/>
      <c r="K100" s="65"/>
      <c r="L100" s="58" t="s">
        <v>130</v>
      </c>
    </row>
    <row r="101" spans="1:25" ht="12.75" customHeight="1" x14ac:dyDescent="0.25">
      <c r="A101" s="6"/>
      <c r="B101" s="20"/>
      <c r="C101" s="65"/>
      <c r="D101" s="65"/>
      <c r="E101" s="65"/>
      <c r="F101" s="65"/>
      <c r="G101" s="65" t="s">
        <v>62</v>
      </c>
      <c r="H101" s="65"/>
      <c r="I101" s="65"/>
      <c r="J101" s="65"/>
      <c r="K101" s="65"/>
    </row>
    <row r="102" spans="1:25" ht="12.75" customHeight="1" x14ac:dyDescent="0.25">
      <c r="A102" s="6"/>
      <c r="B102" s="20"/>
      <c r="C102" s="65"/>
      <c r="D102" s="65"/>
      <c r="E102" s="65"/>
      <c r="F102" s="65"/>
      <c r="G102" s="65" t="s">
        <v>63</v>
      </c>
      <c r="H102" s="65"/>
      <c r="I102" s="65"/>
      <c r="J102" s="65"/>
      <c r="K102" s="65"/>
    </row>
    <row r="103" spans="1:25" ht="12.75" customHeight="1" x14ac:dyDescent="0.25">
      <c r="A103" s="6"/>
      <c r="B103" s="20"/>
      <c r="C103" s="65"/>
      <c r="D103" s="65"/>
      <c r="E103" s="65"/>
      <c r="F103" s="65"/>
      <c r="G103" s="65" t="s">
        <v>64</v>
      </c>
      <c r="H103" s="65"/>
      <c r="I103" s="65"/>
      <c r="J103" s="65"/>
      <c r="K103" s="65"/>
    </row>
    <row r="104" spans="1:25" ht="12.75" customHeight="1" x14ac:dyDescent="0.25">
      <c r="A104" s="6"/>
      <c r="B104" s="20"/>
      <c r="C104" s="65"/>
      <c r="D104" s="65"/>
      <c r="E104" s="65"/>
      <c r="F104" s="65"/>
      <c r="G104" s="65" t="s">
        <v>65</v>
      </c>
      <c r="H104" s="65"/>
      <c r="I104" s="65"/>
      <c r="J104" s="65"/>
      <c r="K104" s="65"/>
    </row>
    <row r="105" spans="1:25" ht="12.75" customHeight="1" x14ac:dyDescent="0.25">
      <c r="A105" s="6"/>
      <c r="B105" s="20"/>
      <c r="C105" s="65"/>
      <c r="D105" s="65"/>
      <c r="E105" s="65"/>
      <c r="F105" s="65"/>
      <c r="G105" s="65" t="s">
        <v>66</v>
      </c>
      <c r="H105" s="65"/>
      <c r="I105" s="65"/>
      <c r="J105" s="65"/>
      <c r="K105" s="65"/>
    </row>
    <row r="106" spans="1:25" ht="12.75" customHeight="1" x14ac:dyDescent="0.25">
      <c r="A106" s="6"/>
      <c r="B106" s="20"/>
      <c r="C106" s="60"/>
      <c r="D106" s="60"/>
      <c r="E106" s="61"/>
      <c r="F106" s="60"/>
      <c r="G106" s="61"/>
      <c r="H106" s="62"/>
      <c r="I106" s="60"/>
      <c r="J106" s="21"/>
      <c r="K106" s="24"/>
    </row>
    <row r="107" spans="1:25" ht="12.75" customHeight="1" x14ac:dyDescent="0.25">
      <c r="A107" s="6"/>
      <c r="B107" s="20"/>
      <c r="C107" s="21"/>
      <c r="D107" s="21"/>
      <c r="E107" s="22"/>
      <c r="F107" s="21"/>
      <c r="G107" s="22"/>
      <c r="H107" s="20"/>
      <c r="I107" s="21"/>
      <c r="J107" s="21"/>
      <c r="K107" s="24"/>
    </row>
    <row r="108" spans="1:25" ht="12.75" customHeight="1" x14ac:dyDescent="0.25">
      <c r="A108" s="6"/>
      <c r="B108" s="20"/>
      <c r="C108" s="21"/>
      <c r="D108" s="21"/>
      <c r="E108" s="22"/>
      <c r="F108" s="21"/>
      <c r="G108" s="22"/>
      <c r="H108" s="20"/>
      <c r="I108" s="21"/>
      <c r="J108" s="21"/>
      <c r="K108" s="24"/>
    </row>
    <row r="109" spans="1:25" ht="12.75" customHeight="1" x14ac:dyDescent="0.25">
      <c r="A109" s="6"/>
      <c r="B109" s="20"/>
      <c r="C109" s="21">
        <v>1</v>
      </c>
      <c r="D109" s="21" t="s">
        <v>48</v>
      </c>
      <c r="E109" s="22" t="s">
        <v>93</v>
      </c>
      <c r="F109" s="21"/>
      <c r="G109" s="22" t="s">
        <v>94</v>
      </c>
      <c r="H109" s="20"/>
      <c r="I109" s="21">
        <v>5</v>
      </c>
      <c r="J109" s="21"/>
      <c r="K109" s="37">
        <v>1.1000000000000001</v>
      </c>
      <c r="L109" s="51">
        <v>0.4</v>
      </c>
    </row>
    <row r="110" spans="1:25" ht="12.75" customHeight="1" x14ac:dyDescent="0.25">
      <c r="A110" s="6"/>
      <c r="B110" s="20"/>
      <c r="C110" s="21"/>
      <c r="D110" s="21"/>
      <c r="E110" s="22"/>
      <c r="F110" s="21"/>
      <c r="G110" s="38" t="s">
        <v>95</v>
      </c>
      <c r="H110" s="20"/>
      <c r="I110" s="21"/>
      <c r="J110" s="21"/>
      <c r="K110" s="24"/>
    </row>
    <row r="111" spans="1:25" ht="12.75" customHeight="1" x14ac:dyDescent="0.25">
      <c r="A111" s="6"/>
      <c r="B111" s="20"/>
      <c r="C111" s="21"/>
      <c r="D111" s="21"/>
      <c r="E111" s="22"/>
      <c r="F111" s="21"/>
      <c r="G111" s="38" t="s">
        <v>96</v>
      </c>
      <c r="H111" s="20"/>
      <c r="I111" s="21"/>
      <c r="J111" s="21"/>
      <c r="K111" s="24"/>
    </row>
    <row r="112" spans="1:25" ht="12.75" customHeight="1" x14ac:dyDescent="0.25">
      <c r="A112" s="33"/>
      <c r="B112" s="20"/>
      <c r="C112" s="21"/>
      <c r="D112" s="21"/>
      <c r="E112" s="22"/>
      <c r="F112" s="21"/>
      <c r="G112" s="38" t="s">
        <v>97</v>
      </c>
      <c r="H112" s="20"/>
      <c r="I112" s="21"/>
      <c r="J112" s="21"/>
      <c r="K112" s="24"/>
      <c r="L112" s="29"/>
      <c r="M112" s="29"/>
      <c r="N112" s="29"/>
      <c r="O112" s="29"/>
      <c r="P112" s="29"/>
      <c r="Q112" s="29"/>
      <c r="R112" s="29"/>
      <c r="S112" s="29"/>
      <c r="T112" s="29"/>
      <c r="U112" s="29"/>
      <c r="V112" s="29"/>
      <c r="W112" s="29"/>
      <c r="X112" s="29"/>
      <c r="Y112" s="29"/>
    </row>
    <row r="113" spans="1:25" ht="12.75" customHeight="1" x14ac:dyDescent="0.25">
      <c r="A113" s="33"/>
      <c r="B113" s="20"/>
      <c r="C113" s="21"/>
      <c r="D113" s="21"/>
      <c r="E113" s="22"/>
      <c r="F113" s="21"/>
      <c r="G113" s="38" t="s">
        <v>98</v>
      </c>
      <c r="H113" s="20"/>
      <c r="I113" s="21"/>
      <c r="J113" s="21"/>
      <c r="K113" s="24"/>
      <c r="L113" s="29"/>
      <c r="M113" s="29"/>
      <c r="N113" s="29"/>
      <c r="O113" s="29"/>
      <c r="P113" s="29"/>
      <c r="Q113" s="29"/>
      <c r="R113" s="29"/>
      <c r="S113" s="29"/>
      <c r="T113" s="29"/>
      <c r="U113" s="29"/>
      <c r="V113" s="29"/>
      <c r="W113" s="29"/>
      <c r="X113" s="29"/>
      <c r="Y113" s="29"/>
    </row>
    <row r="114" spans="1:25" ht="12.75" customHeight="1" x14ac:dyDescent="0.25">
      <c r="A114" s="33"/>
      <c r="B114" s="20"/>
      <c r="C114" s="21"/>
      <c r="D114" s="21"/>
      <c r="E114" s="22"/>
      <c r="F114" s="21"/>
      <c r="G114" s="28" t="s">
        <v>99</v>
      </c>
      <c r="H114" s="20"/>
      <c r="I114" s="21"/>
      <c r="J114" s="21"/>
      <c r="K114" s="24"/>
      <c r="L114" s="29"/>
      <c r="M114" s="29"/>
      <c r="N114" s="29"/>
      <c r="O114" s="29"/>
      <c r="P114" s="29"/>
      <c r="Q114" s="29"/>
      <c r="R114" s="29"/>
      <c r="S114" s="29"/>
      <c r="T114" s="29"/>
      <c r="U114" s="29"/>
      <c r="V114" s="29"/>
      <c r="W114" s="29"/>
      <c r="X114" s="29"/>
      <c r="Y114" s="29"/>
    </row>
    <row r="115" spans="1:25" ht="12.75" customHeight="1" x14ac:dyDescent="0.25">
      <c r="A115" s="33"/>
      <c r="B115" s="20"/>
      <c r="C115" s="21"/>
      <c r="D115" s="21"/>
      <c r="E115" s="22"/>
      <c r="F115" s="21"/>
      <c r="G115" s="22" t="s">
        <v>100</v>
      </c>
      <c r="H115" s="20"/>
      <c r="I115" s="21"/>
      <c r="J115" s="21"/>
      <c r="K115" s="24"/>
      <c r="L115" s="29"/>
      <c r="M115" s="29"/>
      <c r="N115" s="29"/>
      <c r="O115" s="29"/>
      <c r="P115" s="29"/>
      <c r="Q115" s="29"/>
      <c r="R115" s="29"/>
      <c r="S115" s="29"/>
      <c r="T115" s="29"/>
      <c r="U115" s="29"/>
      <c r="V115" s="29"/>
      <c r="W115" s="29"/>
      <c r="X115" s="29"/>
      <c r="Y115" s="29"/>
    </row>
    <row r="116" spans="1:25" ht="12.75" customHeight="1" x14ac:dyDescent="0.25">
      <c r="A116" s="33"/>
      <c r="B116" s="20"/>
      <c r="C116" s="21"/>
      <c r="D116" s="21"/>
      <c r="E116" s="22"/>
      <c r="F116" s="21"/>
      <c r="G116" s="22" t="s">
        <v>101</v>
      </c>
      <c r="H116" s="20"/>
      <c r="I116" s="21"/>
      <c r="J116" s="21"/>
      <c r="K116" s="24"/>
      <c r="L116" s="29"/>
      <c r="M116" s="29"/>
      <c r="N116" s="29"/>
      <c r="O116" s="29"/>
      <c r="P116" s="29"/>
      <c r="Q116" s="29"/>
      <c r="R116" s="29"/>
      <c r="S116" s="29"/>
      <c r="T116" s="29"/>
      <c r="U116" s="29"/>
      <c r="V116" s="29"/>
      <c r="W116" s="29"/>
      <c r="X116" s="29"/>
      <c r="Y116" s="29"/>
    </row>
    <row r="117" spans="1:25" ht="12.75" customHeight="1" x14ac:dyDescent="0.25">
      <c r="A117" s="33"/>
      <c r="B117" s="20"/>
      <c r="C117" s="21"/>
      <c r="D117" s="21"/>
      <c r="E117" s="22"/>
      <c r="F117" s="21"/>
      <c r="G117" s="22" t="s">
        <v>102</v>
      </c>
      <c r="H117" s="20"/>
      <c r="I117" s="21"/>
      <c r="J117" s="21"/>
      <c r="K117" s="24"/>
      <c r="L117" s="29"/>
      <c r="M117" s="29"/>
      <c r="N117" s="29"/>
      <c r="O117" s="29"/>
      <c r="P117" s="29"/>
      <c r="Q117" s="29"/>
      <c r="R117" s="29"/>
      <c r="S117" s="29"/>
      <c r="T117" s="29"/>
      <c r="U117" s="29"/>
      <c r="V117" s="29"/>
      <c r="W117" s="29"/>
      <c r="X117" s="29"/>
      <c r="Y117" s="29"/>
    </row>
    <row r="118" spans="1:25" ht="12.75" customHeight="1" x14ac:dyDescent="0.25">
      <c r="A118" s="33"/>
      <c r="B118" s="20"/>
      <c r="C118" s="21"/>
      <c r="D118" s="21"/>
      <c r="E118" s="22"/>
      <c r="F118" s="21"/>
      <c r="G118" s="22"/>
      <c r="H118" s="20"/>
      <c r="I118" s="21"/>
      <c r="J118" s="21"/>
      <c r="K118" s="24"/>
      <c r="L118" s="29"/>
      <c r="M118" s="29"/>
      <c r="N118" s="29"/>
      <c r="O118" s="29"/>
      <c r="P118" s="29"/>
      <c r="Q118" s="29"/>
      <c r="R118" s="29"/>
      <c r="S118" s="29"/>
      <c r="T118" s="29"/>
      <c r="U118" s="29"/>
      <c r="V118" s="29"/>
      <c r="W118" s="29"/>
      <c r="X118" s="29"/>
      <c r="Y118" s="29"/>
    </row>
    <row r="119" spans="1:25" ht="12.75" customHeight="1" x14ac:dyDescent="0.25">
      <c r="A119" s="6"/>
      <c r="B119" s="20"/>
      <c r="C119" s="21">
        <v>1</v>
      </c>
      <c r="D119" s="21" t="s">
        <v>48</v>
      </c>
      <c r="E119" s="22" t="s">
        <v>103</v>
      </c>
      <c r="F119" s="21"/>
      <c r="G119" s="22" t="s">
        <v>104</v>
      </c>
      <c r="H119" s="20"/>
      <c r="I119" s="21">
        <v>5</v>
      </c>
      <c r="J119" s="21"/>
      <c r="K119" s="23">
        <v>1.7</v>
      </c>
      <c r="L119" s="52">
        <v>0.5</v>
      </c>
    </row>
    <row r="120" spans="1:25" ht="12.75" customHeight="1" x14ac:dyDescent="0.25">
      <c r="A120" s="6"/>
      <c r="B120" s="20"/>
      <c r="C120" s="21"/>
      <c r="D120" s="21"/>
      <c r="E120" s="22"/>
      <c r="F120" s="21"/>
      <c r="G120" s="22" t="s">
        <v>105</v>
      </c>
      <c r="H120" s="20"/>
      <c r="I120" s="21"/>
      <c r="J120" s="21"/>
      <c r="K120" s="24"/>
    </row>
    <row r="121" spans="1:25" ht="12.75" customHeight="1" x14ac:dyDescent="0.25">
      <c r="A121" s="6"/>
      <c r="B121" s="20"/>
      <c r="C121" s="21"/>
      <c r="D121" s="21"/>
      <c r="E121" s="22"/>
      <c r="F121" s="21"/>
      <c r="G121" s="22" t="s">
        <v>106</v>
      </c>
      <c r="H121" s="20"/>
      <c r="I121" s="21"/>
      <c r="J121" s="21"/>
      <c r="K121" s="24"/>
    </row>
    <row r="122" spans="1:25" ht="12.75" customHeight="1" x14ac:dyDescent="0.25">
      <c r="A122" s="33"/>
      <c r="B122" s="20"/>
      <c r="C122" s="21"/>
      <c r="D122" s="21"/>
      <c r="E122" s="22"/>
      <c r="F122" s="21"/>
      <c r="G122" s="22" t="s">
        <v>120</v>
      </c>
      <c r="H122" s="20"/>
      <c r="I122" s="21"/>
      <c r="J122" s="21"/>
      <c r="K122" s="24"/>
      <c r="L122" s="29"/>
      <c r="M122" s="29"/>
      <c r="N122" s="29"/>
      <c r="O122" s="29"/>
      <c r="P122" s="29"/>
      <c r="Q122" s="29"/>
      <c r="R122" s="29"/>
      <c r="S122" s="29"/>
      <c r="T122" s="29"/>
      <c r="U122" s="29"/>
      <c r="V122" s="29"/>
      <c r="W122" s="29"/>
      <c r="X122" s="29"/>
      <c r="Y122" s="29"/>
    </row>
    <row r="123" spans="1:25" ht="12.75" customHeight="1" x14ac:dyDescent="0.25">
      <c r="A123" s="33"/>
      <c r="B123" s="20"/>
      <c r="C123" s="21"/>
      <c r="D123" s="21"/>
      <c r="E123" s="22"/>
      <c r="F123" s="21"/>
      <c r="G123" s="22" t="s">
        <v>123</v>
      </c>
      <c r="H123" s="20"/>
      <c r="I123" s="21"/>
      <c r="J123" s="21"/>
      <c r="K123" s="24"/>
      <c r="L123" s="29"/>
      <c r="M123" s="29"/>
      <c r="N123" s="29"/>
      <c r="O123" s="29"/>
      <c r="P123" s="29"/>
      <c r="Q123" s="29"/>
      <c r="R123" s="29"/>
      <c r="S123" s="29"/>
      <c r="T123" s="29"/>
      <c r="U123" s="29"/>
      <c r="V123" s="29"/>
      <c r="W123" s="29"/>
      <c r="X123" s="29"/>
      <c r="Y123" s="29"/>
    </row>
    <row r="124" spans="1:25" ht="12.75" customHeight="1" x14ac:dyDescent="0.25">
      <c r="A124" s="33"/>
      <c r="B124" s="20"/>
      <c r="C124" s="21"/>
      <c r="D124" s="21"/>
      <c r="E124" s="22"/>
      <c r="F124" s="21"/>
      <c r="G124" s="39" t="s">
        <v>155</v>
      </c>
      <c r="H124" s="20"/>
      <c r="I124" s="21"/>
      <c r="J124" s="21"/>
      <c r="K124" s="24"/>
      <c r="L124" s="29"/>
      <c r="M124" s="29"/>
      <c r="N124" s="29"/>
      <c r="O124" s="29"/>
      <c r="P124" s="29"/>
      <c r="Q124" s="29"/>
      <c r="R124" s="29"/>
      <c r="S124" s="29"/>
      <c r="T124" s="29"/>
      <c r="U124" s="29"/>
      <c r="V124" s="29"/>
      <c r="W124" s="29"/>
      <c r="X124" s="29"/>
      <c r="Y124" s="29"/>
    </row>
    <row r="125" spans="1:25" ht="12.75" customHeight="1" x14ac:dyDescent="0.25">
      <c r="A125" s="49"/>
      <c r="B125" s="45"/>
      <c r="C125" s="46"/>
      <c r="D125" s="46"/>
      <c r="E125" s="47"/>
      <c r="F125" s="46"/>
      <c r="G125" s="53" t="s">
        <v>153</v>
      </c>
      <c r="H125" s="45"/>
      <c r="I125" s="46"/>
      <c r="J125" s="46"/>
      <c r="K125" s="48"/>
      <c r="L125" s="29"/>
      <c r="M125" s="29"/>
      <c r="N125" s="29"/>
      <c r="O125" s="29"/>
      <c r="P125" s="29"/>
      <c r="Q125" s="29"/>
      <c r="R125" s="29"/>
      <c r="S125" s="29"/>
      <c r="T125" s="29"/>
      <c r="U125" s="29"/>
      <c r="V125" s="29"/>
      <c r="W125" s="29"/>
      <c r="X125" s="29"/>
      <c r="Y125" s="29"/>
    </row>
    <row r="126" spans="1:25" ht="12.75" customHeight="1" x14ac:dyDescent="0.25">
      <c r="A126" s="33"/>
      <c r="B126" s="20"/>
      <c r="C126" s="21"/>
      <c r="D126" s="21"/>
      <c r="E126" s="22"/>
      <c r="F126" s="21"/>
      <c r="G126" s="53" t="s">
        <v>154</v>
      </c>
      <c r="H126" s="20"/>
      <c r="I126" s="21"/>
      <c r="J126" s="21"/>
      <c r="K126" s="24"/>
      <c r="L126" s="29"/>
      <c r="M126" s="29"/>
      <c r="N126" s="29"/>
      <c r="O126" s="29"/>
      <c r="P126" s="29"/>
      <c r="Q126" s="29"/>
      <c r="R126" s="29"/>
      <c r="S126" s="29"/>
      <c r="T126" s="29"/>
      <c r="U126" s="29"/>
      <c r="V126" s="29"/>
      <c r="W126" s="29"/>
      <c r="X126" s="29"/>
      <c r="Y126" s="29"/>
    </row>
    <row r="127" spans="1:25" ht="12.75" customHeight="1" x14ac:dyDescent="0.25">
      <c r="A127" s="49"/>
      <c r="B127" s="45"/>
      <c r="C127" s="46"/>
      <c r="D127" s="46"/>
      <c r="E127" s="47"/>
      <c r="F127" s="46"/>
      <c r="G127" s="50" t="s">
        <v>150</v>
      </c>
      <c r="H127" s="45"/>
      <c r="I127" s="46"/>
      <c r="J127" s="46"/>
      <c r="K127" s="48"/>
      <c r="L127" s="29"/>
      <c r="M127" s="29"/>
      <c r="N127" s="29"/>
      <c r="O127" s="29"/>
      <c r="P127" s="29"/>
      <c r="Q127" s="29"/>
      <c r="R127" s="29"/>
      <c r="S127" s="29"/>
      <c r="T127" s="29"/>
      <c r="U127" s="29"/>
      <c r="V127" s="29"/>
      <c r="W127" s="29"/>
      <c r="X127" s="29"/>
      <c r="Y127" s="29"/>
    </row>
    <row r="128" spans="1:25" ht="12.75" customHeight="1" x14ac:dyDescent="0.25">
      <c r="A128" s="49"/>
      <c r="B128" s="45"/>
      <c r="C128" s="46"/>
      <c r="D128" s="46"/>
      <c r="E128" s="47"/>
      <c r="F128" s="46"/>
      <c r="G128" s="22"/>
      <c r="H128" s="45"/>
      <c r="I128" s="46"/>
      <c r="J128" s="46"/>
      <c r="K128" s="48"/>
      <c r="L128" s="29"/>
      <c r="M128" s="29"/>
      <c r="N128" s="29"/>
      <c r="O128" s="29"/>
      <c r="P128" s="29"/>
      <c r="Q128" s="29"/>
      <c r="R128" s="29"/>
      <c r="S128" s="29"/>
      <c r="T128" s="29"/>
      <c r="U128" s="29"/>
      <c r="V128" s="29"/>
      <c r="W128" s="29"/>
      <c r="X128" s="29"/>
      <c r="Y128" s="29"/>
    </row>
    <row r="129" spans="1:25" ht="12.75" customHeight="1" x14ac:dyDescent="0.25">
      <c r="A129" s="33"/>
      <c r="B129" s="20"/>
      <c r="C129" s="21"/>
      <c r="D129" s="21"/>
      <c r="E129" s="22"/>
      <c r="F129" s="21"/>
      <c r="G129" s="22"/>
      <c r="H129" s="20"/>
      <c r="I129" s="21"/>
      <c r="J129" s="21"/>
      <c r="K129" s="24"/>
      <c r="L129" s="29"/>
      <c r="M129" s="29"/>
      <c r="N129" s="29"/>
      <c r="O129" s="29"/>
      <c r="P129" s="29"/>
      <c r="Q129" s="29"/>
      <c r="R129" s="29"/>
      <c r="S129" s="29"/>
      <c r="T129" s="29"/>
      <c r="U129" s="29"/>
      <c r="V129" s="29"/>
      <c r="W129" s="29"/>
      <c r="X129" s="29"/>
      <c r="Y129" s="29"/>
    </row>
    <row r="130" spans="1:25" ht="12.75" customHeight="1" x14ac:dyDescent="0.25">
      <c r="A130" s="33" t="s">
        <v>107</v>
      </c>
      <c r="B130" s="33" t="s">
        <v>108</v>
      </c>
      <c r="C130" s="33">
        <v>1</v>
      </c>
      <c r="D130" s="21" t="s">
        <v>48</v>
      </c>
      <c r="E130" s="40" t="s">
        <v>109</v>
      </c>
      <c r="F130" s="33"/>
      <c r="G130" s="39" t="s">
        <v>110</v>
      </c>
      <c r="H130" s="33"/>
      <c r="I130" s="21">
        <v>6</v>
      </c>
      <c r="J130" s="33"/>
      <c r="K130" s="23">
        <v>0.8</v>
      </c>
      <c r="L130" s="29"/>
      <c r="M130" s="29"/>
      <c r="N130" s="29"/>
      <c r="O130" s="29"/>
      <c r="P130" s="29"/>
      <c r="Q130" s="29"/>
      <c r="R130" s="29"/>
      <c r="S130" s="29"/>
      <c r="T130" s="29"/>
      <c r="U130" s="29"/>
      <c r="V130" s="29"/>
      <c r="W130" s="29"/>
      <c r="X130" s="29"/>
      <c r="Y130" s="29"/>
    </row>
    <row r="131" spans="1:25" ht="12.75" customHeight="1" x14ac:dyDescent="0.25">
      <c r="A131" s="33"/>
      <c r="B131" s="33"/>
      <c r="C131" s="33"/>
      <c r="D131" s="21"/>
      <c r="E131" s="33"/>
      <c r="F131" s="33"/>
      <c r="G131" s="22" t="s">
        <v>111</v>
      </c>
      <c r="H131" s="33"/>
      <c r="I131" s="21"/>
      <c r="J131" s="33"/>
      <c r="K131" s="24"/>
      <c r="L131" s="29"/>
      <c r="M131" s="29"/>
      <c r="N131" s="29"/>
      <c r="O131" s="29"/>
      <c r="P131" s="29"/>
      <c r="Q131" s="29"/>
      <c r="R131" s="29"/>
      <c r="S131" s="29"/>
      <c r="T131" s="29"/>
      <c r="U131" s="29"/>
      <c r="V131" s="29"/>
      <c r="W131" s="29"/>
      <c r="X131" s="29"/>
      <c r="Y131" s="29"/>
    </row>
    <row r="132" spans="1:25" ht="12.75" customHeight="1" x14ac:dyDescent="0.25">
      <c r="A132" s="33"/>
      <c r="B132" s="33"/>
      <c r="C132" s="33"/>
      <c r="D132" s="21"/>
      <c r="E132" s="33"/>
      <c r="F132" s="33"/>
      <c r="G132" s="39"/>
      <c r="H132" s="33"/>
      <c r="I132" s="21"/>
      <c r="J132" s="33"/>
      <c r="K132" s="24"/>
      <c r="L132" s="29"/>
      <c r="M132" s="29"/>
      <c r="N132" s="29"/>
      <c r="O132" s="29"/>
      <c r="P132" s="29"/>
      <c r="Q132" s="29"/>
      <c r="R132" s="29"/>
      <c r="S132" s="29"/>
      <c r="T132" s="29"/>
      <c r="U132" s="29"/>
      <c r="V132" s="29"/>
      <c r="W132" s="29"/>
      <c r="X132" s="29"/>
      <c r="Y132" s="29"/>
    </row>
    <row r="133" spans="1:25" ht="12.75" customHeight="1" x14ac:dyDescent="0.25">
      <c r="A133" s="33"/>
      <c r="B133" s="33"/>
      <c r="C133" s="33">
        <v>1</v>
      </c>
      <c r="D133" s="21" t="s">
        <v>48</v>
      </c>
      <c r="E133" s="33" t="s">
        <v>112</v>
      </c>
      <c r="F133" s="33"/>
      <c r="G133" s="39" t="s">
        <v>113</v>
      </c>
      <c r="H133" s="33"/>
      <c r="I133" s="21">
        <v>6</v>
      </c>
      <c r="J133" s="33"/>
      <c r="K133" s="23">
        <v>0.8</v>
      </c>
      <c r="L133" s="29"/>
      <c r="M133" s="29"/>
      <c r="N133" s="29"/>
      <c r="O133" s="29"/>
      <c r="P133" s="29"/>
      <c r="Q133" s="29"/>
      <c r="R133" s="29"/>
      <c r="S133" s="29"/>
      <c r="T133" s="29"/>
      <c r="U133" s="29"/>
      <c r="V133" s="29"/>
      <c r="W133" s="29"/>
      <c r="X133" s="29"/>
      <c r="Y133" s="29"/>
    </row>
    <row r="134" spans="1:25" ht="12.75" customHeight="1" x14ac:dyDescent="0.25">
      <c r="A134" s="33"/>
      <c r="B134" s="33"/>
      <c r="C134" s="33"/>
      <c r="D134" s="21"/>
      <c r="E134" s="33"/>
      <c r="F134" s="33"/>
      <c r="G134" s="39" t="s">
        <v>114</v>
      </c>
      <c r="H134" s="33"/>
      <c r="I134" s="33"/>
      <c r="J134" s="33"/>
      <c r="K134" s="24"/>
      <c r="L134" s="29"/>
      <c r="M134" s="29"/>
      <c r="N134" s="29"/>
      <c r="O134" s="29"/>
      <c r="P134" s="29"/>
      <c r="Q134" s="29"/>
      <c r="R134" s="29"/>
      <c r="S134" s="29"/>
      <c r="T134" s="29"/>
      <c r="U134" s="29"/>
      <c r="V134" s="29"/>
      <c r="W134" s="29"/>
      <c r="X134" s="29"/>
      <c r="Y134" s="29"/>
    </row>
    <row r="135" spans="1:25" ht="12.75" customHeight="1" x14ac:dyDescent="0.25">
      <c r="A135" s="33"/>
      <c r="B135" s="33"/>
      <c r="C135" s="33"/>
      <c r="D135" s="21"/>
      <c r="F135" s="33"/>
      <c r="G135" s="39" t="s">
        <v>115</v>
      </c>
      <c r="H135" s="33"/>
      <c r="I135" s="21"/>
      <c r="J135" s="33"/>
      <c r="K135" s="24"/>
      <c r="L135" s="29"/>
      <c r="M135" s="29"/>
      <c r="N135" s="29"/>
      <c r="O135" s="29"/>
      <c r="P135" s="29"/>
      <c r="Q135" s="29"/>
      <c r="R135" s="29"/>
      <c r="S135" s="29"/>
      <c r="T135" s="29"/>
      <c r="U135" s="29"/>
      <c r="V135" s="29"/>
      <c r="W135" s="29"/>
      <c r="X135" s="29"/>
      <c r="Y135" s="29"/>
    </row>
    <row r="136" spans="1:25" ht="12.75" customHeight="1" x14ac:dyDescent="0.25">
      <c r="A136" s="33"/>
      <c r="B136" s="33"/>
      <c r="C136" s="33"/>
      <c r="D136" s="33"/>
      <c r="E136" s="33"/>
      <c r="F136" s="33"/>
      <c r="G136" s="39" t="s">
        <v>114</v>
      </c>
      <c r="H136" s="33"/>
      <c r="I136" s="33"/>
      <c r="J136" s="33"/>
      <c r="K136" s="24"/>
      <c r="L136" s="29"/>
      <c r="M136" s="29"/>
      <c r="N136" s="29"/>
      <c r="O136" s="29"/>
      <c r="P136" s="29"/>
      <c r="Q136" s="29"/>
      <c r="R136" s="29"/>
      <c r="S136" s="29"/>
      <c r="T136" s="29"/>
      <c r="U136" s="29"/>
      <c r="V136" s="29"/>
      <c r="W136" s="29"/>
      <c r="X136" s="29"/>
      <c r="Y136" s="29"/>
    </row>
    <row r="137" spans="1:25" ht="12.75" customHeight="1" x14ac:dyDescent="0.25">
      <c r="A137" s="33"/>
      <c r="B137" s="33"/>
      <c r="C137" s="33"/>
      <c r="D137" s="33"/>
      <c r="E137" s="33"/>
      <c r="F137" s="33"/>
      <c r="G137" s="39"/>
      <c r="H137" s="33"/>
      <c r="I137" s="33"/>
      <c r="J137" s="33"/>
      <c r="K137" s="24"/>
      <c r="L137" s="29"/>
      <c r="M137" s="29"/>
      <c r="N137" s="29"/>
      <c r="O137" s="29"/>
      <c r="P137" s="29"/>
      <c r="Q137" s="29"/>
      <c r="R137" s="29"/>
      <c r="S137" s="29"/>
      <c r="T137" s="29"/>
      <c r="U137" s="29"/>
      <c r="V137" s="29"/>
      <c r="W137" s="29"/>
      <c r="X137" s="29"/>
      <c r="Y137" s="29"/>
    </row>
    <row r="138" spans="1:25" ht="12.75" customHeight="1" x14ac:dyDescent="0.25">
      <c r="A138" s="33"/>
      <c r="B138" s="33"/>
      <c r="C138" s="33">
        <v>1</v>
      </c>
      <c r="D138" s="21" t="s">
        <v>48</v>
      </c>
      <c r="E138" s="33" t="s">
        <v>116</v>
      </c>
      <c r="F138" s="33"/>
      <c r="G138" s="39" t="s">
        <v>156</v>
      </c>
      <c r="H138" s="33" t="s">
        <v>117</v>
      </c>
      <c r="I138" s="21">
        <v>6</v>
      </c>
      <c r="J138" s="33"/>
      <c r="K138" s="23">
        <v>0.4</v>
      </c>
      <c r="L138" s="29"/>
      <c r="M138" s="29"/>
      <c r="N138" s="41"/>
      <c r="O138" s="29"/>
      <c r="P138" s="29"/>
      <c r="Q138" s="29"/>
      <c r="R138" s="29"/>
      <c r="S138" s="29"/>
      <c r="T138" s="29"/>
      <c r="U138" s="29"/>
      <c r="V138" s="29"/>
      <c r="W138" s="29"/>
      <c r="X138" s="29"/>
      <c r="Y138" s="29"/>
    </row>
    <row r="139" spans="1:25" ht="12.75" customHeight="1" x14ac:dyDescent="0.25">
      <c r="A139" s="6"/>
      <c r="B139" s="42"/>
      <c r="C139" s="6"/>
      <c r="D139" s="6"/>
      <c r="E139" s="42"/>
      <c r="F139" s="6"/>
      <c r="G139" s="56" t="s">
        <v>157</v>
      </c>
      <c r="H139" s="42"/>
      <c r="I139" s="6"/>
      <c r="J139" s="6"/>
      <c r="K139" s="43"/>
    </row>
    <row r="140" spans="1:25" ht="12.75" customHeight="1" x14ac:dyDescent="0.25">
      <c r="F140" s="2"/>
      <c r="K140" s="3"/>
    </row>
    <row r="141" spans="1:25" ht="12.75" customHeight="1" x14ac:dyDescent="0.25">
      <c r="F141" s="2"/>
      <c r="K141" s="3"/>
      <c r="L141" s="17" t="s">
        <v>118</v>
      </c>
      <c r="M141" s="18" t="s">
        <v>45</v>
      </c>
      <c r="N141" s="19">
        <f>SUM(N25:N139)</f>
        <v>14.299999999999999</v>
      </c>
    </row>
    <row r="142" spans="1:25" ht="12.75" customHeight="1" x14ac:dyDescent="0.25">
      <c r="K142" s="3"/>
    </row>
    <row r="143" spans="1:25" ht="12.75" customHeight="1" x14ac:dyDescent="0.25">
      <c r="K143" s="3"/>
    </row>
    <row r="144" spans="1:25" ht="12.75" customHeight="1" x14ac:dyDescent="0.25">
      <c r="K144" s="3"/>
    </row>
    <row r="145" spans="6:11" ht="12.75" customHeight="1" x14ac:dyDescent="0.25">
      <c r="F145" s="2"/>
      <c r="K145" s="3"/>
    </row>
    <row r="146" spans="6:11" ht="12.75" customHeight="1" x14ac:dyDescent="0.25">
      <c r="F146" s="2"/>
      <c r="K146" s="3"/>
    </row>
    <row r="147" spans="6:11" ht="12.75" customHeight="1" x14ac:dyDescent="0.25">
      <c r="F147" s="2"/>
      <c r="K147" s="3"/>
    </row>
    <row r="148" spans="6:11" ht="12.75" customHeight="1" x14ac:dyDescent="0.25">
      <c r="F148" s="2"/>
      <c r="K148" s="3"/>
    </row>
    <row r="149" spans="6:11" ht="12.75" customHeight="1" x14ac:dyDescent="0.25">
      <c r="F149" s="2"/>
      <c r="K149" s="3"/>
    </row>
    <row r="150" spans="6:11" ht="12.75" customHeight="1" x14ac:dyDescent="0.25">
      <c r="F150" s="2"/>
      <c r="K150" s="3"/>
    </row>
    <row r="151" spans="6:11" ht="12.75" customHeight="1" x14ac:dyDescent="0.25">
      <c r="F151" s="2"/>
      <c r="K151" s="3"/>
    </row>
    <row r="152" spans="6:11" ht="12.75" customHeight="1" x14ac:dyDescent="0.25">
      <c r="F152" s="2"/>
      <c r="K152" s="3"/>
    </row>
    <row r="153" spans="6:11" ht="12.75" customHeight="1" x14ac:dyDescent="0.25">
      <c r="F153" s="2"/>
      <c r="K153" s="3"/>
    </row>
    <row r="154" spans="6:11" ht="12.75" customHeight="1" x14ac:dyDescent="0.25">
      <c r="F154" s="2"/>
      <c r="K154" s="3"/>
    </row>
    <row r="155" spans="6:11" ht="12.75" customHeight="1" x14ac:dyDescent="0.25">
      <c r="F155" s="2"/>
      <c r="K155" s="3"/>
    </row>
    <row r="156" spans="6:11" ht="12.75" customHeight="1" x14ac:dyDescent="0.25">
      <c r="F156" s="2"/>
      <c r="K156" s="3"/>
    </row>
    <row r="157" spans="6:11" ht="12.75" customHeight="1" x14ac:dyDescent="0.25">
      <c r="F157" s="2"/>
      <c r="K157" s="3"/>
    </row>
    <row r="158" spans="6:11" ht="12.75" customHeight="1" x14ac:dyDescent="0.25">
      <c r="F158" s="2"/>
      <c r="K158" s="3"/>
    </row>
    <row r="159" spans="6:11" ht="12.75" customHeight="1" x14ac:dyDescent="0.25">
      <c r="F159" s="2"/>
      <c r="K159" s="3"/>
    </row>
    <row r="160" spans="6:11" ht="12.75" customHeight="1" x14ac:dyDescent="0.25">
      <c r="F160" s="2"/>
      <c r="K160" s="3"/>
    </row>
    <row r="161" spans="6:11" ht="12.75" customHeight="1" x14ac:dyDescent="0.25">
      <c r="F161" s="2"/>
      <c r="K161" s="3"/>
    </row>
    <row r="162" spans="6:11" ht="12.75" customHeight="1" x14ac:dyDescent="0.25">
      <c r="F162" s="2"/>
      <c r="K162" s="3"/>
    </row>
    <row r="163" spans="6:11" ht="12.75" customHeight="1" x14ac:dyDescent="0.25">
      <c r="F163" s="2"/>
      <c r="K163" s="3"/>
    </row>
    <row r="164" spans="6:11" ht="12.75" customHeight="1" x14ac:dyDescent="0.25">
      <c r="F164" s="2"/>
      <c r="K164" s="3"/>
    </row>
    <row r="165" spans="6:11" ht="12.75" customHeight="1" x14ac:dyDescent="0.25">
      <c r="F165" s="2"/>
      <c r="K165" s="3"/>
    </row>
    <row r="166" spans="6:11" ht="12.75" customHeight="1" x14ac:dyDescent="0.25">
      <c r="F166" s="2"/>
      <c r="K166" s="3"/>
    </row>
    <row r="167" spans="6:11" ht="12.75" customHeight="1" x14ac:dyDescent="0.25">
      <c r="F167" s="2"/>
      <c r="K167" s="3"/>
    </row>
    <row r="168" spans="6:11" ht="12.75" customHeight="1" x14ac:dyDescent="0.25">
      <c r="F168" s="2"/>
      <c r="K168" s="3"/>
    </row>
    <row r="169" spans="6:11" ht="12.75" customHeight="1" x14ac:dyDescent="0.25">
      <c r="F169" s="2"/>
      <c r="K169" s="3"/>
    </row>
    <row r="170" spans="6:11" ht="12.75" customHeight="1" x14ac:dyDescent="0.25">
      <c r="F170" s="2"/>
      <c r="K170" s="3"/>
    </row>
    <row r="171" spans="6:11" ht="12.75" customHeight="1" x14ac:dyDescent="0.25">
      <c r="F171" s="2"/>
      <c r="K171" s="3"/>
    </row>
    <row r="172" spans="6:11" ht="12.75" customHeight="1" x14ac:dyDescent="0.25">
      <c r="F172" s="2"/>
      <c r="K172" s="3"/>
    </row>
    <row r="173" spans="6:11" ht="12.75" customHeight="1" x14ac:dyDescent="0.25">
      <c r="F173" s="2"/>
      <c r="K173" s="3"/>
    </row>
    <row r="174" spans="6:11" ht="12.75" customHeight="1" x14ac:dyDescent="0.25">
      <c r="F174" s="2"/>
      <c r="K174" s="3"/>
    </row>
    <row r="175" spans="6:11" ht="12.75" customHeight="1" x14ac:dyDescent="0.25">
      <c r="F175" s="2"/>
      <c r="K175" s="3"/>
    </row>
    <row r="176" spans="6:11" ht="12.75" customHeight="1" x14ac:dyDescent="0.25">
      <c r="F176" s="2"/>
      <c r="K176" s="3"/>
    </row>
    <row r="177" spans="6:11" ht="12.75" customHeight="1" x14ac:dyDescent="0.25">
      <c r="F177" s="2"/>
      <c r="K177" s="3"/>
    </row>
    <row r="178" spans="6:11" ht="12.75" customHeight="1" x14ac:dyDescent="0.25">
      <c r="F178" s="2"/>
      <c r="K178" s="3"/>
    </row>
    <row r="179" spans="6:11" ht="12.75" customHeight="1" x14ac:dyDescent="0.25">
      <c r="F179" s="2"/>
      <c r="K179" s="3"/>
    </row>
    <row r="180" spans="6:11" ht="12.75" customHeight="1" x14ac:dyDescent="0.25">
      <c r="F180" s="2"/>
      <c r="K180" s="3"/>
    </row>
    <row r="181" spans="6:11" ht="12.75" customHeight="1" x14ac:dyDescent="0.25">
      <c r="F181" s="2"/>
      <c r="K181" s="3"/>
    </row>
    <row r="182" spans="6:11" ht="12.75" customHeight="1" x14ac:dyDescent="0.25">
      <c r="F182" s="2"/>
      <c r="K182" s="3"/>
    </row>
    <row r="183" spans="6:11" ht="12.75" customHeight="1" x14ac:dyDescent="0.25">
      <c r="F183" s="2"/>
      <c r="K183" s="3"/>
    </row>
    <row r="184" spans="6:11" ht="12.75" customHeight="1" x14ac:dyDescent="0.25">
      <c r="F184" s="2"/>
      <c r="K184" s="3"/>
    </row>
    <row r="185" spans="6:11" ht="12.75" customHeight="1" x14ac:dyDescent="0.25">
      <c r="F185" s="2"/>
      <c r="K185" s="3"/>
    </row>
    <row r="186" spans="6:11" ht="12.75" customHeight="1" x14ac:dyDescent="0.25">
      <c r="F186" s="2"/>
      <c r="K186" s="3"/>
    </row>
    <row r="187" spans="6:11" ht="12.75" customHeight="1" x14ac:dyDescent="0.25">
      <c r="F187" s="2"/>
      <c r="K187" s="3"/>
    </row>
    <row r="188" spans="6:11" ht="12.75" customHeight="1" x14ac:dyDescent="0.25">
      <c r="F188" s="2"/>
      <c r="K188" s="3"/>
    </row>
    <row r="189" spans="6:11" ht="12.75" customHeight="1" x14ac:dyDescent="0.25">
      <c r="F189" s="2"/>
      <c r="K189" s="3"/>
    </row>
    <row r="190" spans="6:11" ht="12.75" customHeight="1" x14ac:dyDescent="0.25">
      <c r="F190" s="2"/>
      <c r="K190" s="3"/>
    </row>
    <row r="191" spans="6:11" ht="12.75" customHeight="1" x14ac:dyDescent="0.25">
      <c r="F191" s="2"/>
      <c r="K191" s="3"/>
    </row>
    <row r="192" spans="6:11" ht="12.75" customHeight="1" x14ac:dyDescent="0.25">
      <c r="F192" s="2"/>
      <c r="K192" s="3"/>
    </row>
    <row r="193" spans="6:11" ht="12.75" customHeight="1" x14ac:dyDescent="0.25">
      <c r="F193" s="2"/>
      <c r="K193" s="3"/>
    </row>
    <row r="194" spans="6:11" ht="12.75" customHeight="1" x14ac:dyDescent="0.25">
      <c r="F194" s="2"/>
      <c r="K194" s="3"/>
    </row>
    <row r="195" spans="6:11" ht="12.75" customHeight="1" x14ac:dyDescent="0.25">
      <c r="F195" s="2"/>
      <c r="K195" s="3"/>
    </row>
    <row r="196" spans="6:11" ht="12.75" customHeight="1" x14ac:dyDescent="0.25">
      <c r="F196" s="2"/>
      <c r="K196" s="3"/>
    </row>
    <row r="197" spans="6:11" ht="12.75" customHeight="1" x14ac:dyDescent="0.25">
      <c r="F197" s="2"/>
      <c r="K197" s="3"/>
    </row>
    <row r="198" spans="6:11" ht="12.75" customHeight="1" x14ac:dyDescent="0.25">
      <c r="F198" s="2"/>
      <c r="K198" s="3"/>
    </row>
    <row r="199" spans="6:11" ht="12.75" customHeight="1" x14ac:dyDescent="0.25">
      <c r="F199" s="2"/>
      <c r="K199" s="3"/>
    </row>
    <row r="200" spans="6:11" ht="12.75" customHeight="1" x14ac:dyDescent="0.25">
      <c r="F200" s="2"/>
      <c r="K200" s="3"/>
    </row>
    <row r="201" spans="6:11" ht="12.75" customHeight="1" x14ac:dyDescent="0.25">
      <c r="F201" s="2"/>
      <c r="K201" s="3"/>
    </row>
    <row r="202" spans="6:11" ht="12.75" customHeight="1" x14ac:dyDescent="0.25">
      <c r="F202" s="2"/>
      <c r="K202" s="3"/>
    </row>
    <row r="203" spans="6:11" ht="12.75" customHeight="1" x14ac:dyDescent="0.25">
      <c r="F203" s="2"/>
      <c r="K203" s="3"/>
    </row>
    <row r="204" spans="6:11" ht="12.75" customHeight="1" x14ac:dyDescent="0.25">
      <c r="F204" s="2"/>
      <c r="K204" s="3"/>
    </row>
    <row r="205" spans="6:11" ht="12.75" customHeight="1" x14ac:dyDescent="0.25">
      <c r="F205" s="2"/>
      <c r="K205" s="3"/>
    </row>
    <row r="206" spans="6:11" ht="12.75" customHeight="1" x14ac:dyDescent="0.25">
      <c r="F206" s="2"/>
      <c r="K206" s="3"/>
    </row>
    <row r="207" spans="6:11" ht="12.75" customHeight="1" x14ac:dyDescent="0.25">
      <c r="F207" s="2"/>
      <c r="K207" s="3"/>
    </row>
    <row r="208" spans="6:11" ht="12.75" customHeight="1" x14ac:dyDescent="0.25">
      <c r="F208" s="2"/>
      <c r="K208" s="3"/>
    </row>
    <row r="209" spans="6:11" ht="12.75" customHeight="1" x14ac:dyDescent="0.25">
      <c r="F209" s="2"/>
      <c r="K209" s="3"/>
    </row>
    <row r="210" spans="6:11" ht="12.75" customHeight="1" x14ac:dyDescent="0.25">
      <c r="F210" s="2"/>
      <c r="K210" s="3"/>
    </row>
    <row r="211" spans="6:11" ht="12.75" customHeight="1" x14ac:dyDescent="0.25">
      <c r="F211" s="2"/>
      <c r="K211" s="3"/>
    </row>
    <row r="212" spans="6:11" ht="12.75" customHeight="1" x14ac:dyDescent="0.25">
      <c r="F212" s="2"/>
      <c r="K212" s="3"/>
    </row>
    <row r="213" spans="6:11" ht="12.75" customHeight="1" x14ac:dyDescent="0.25">
      <c r="F213" s="2"/>
      <c r="K213" s="3"/>
    </row>
    <row r="214" spans="6:11" ht="12.75" customHeight="1" x14ac:dyDescent="0.25">
      <c r="F214" s="2"/>
      <c r="K214" s="3"/>
    </row>
    <row r="215" spans="6:11" ht="12.75" customHeight="1" x14ac:dyDescent="0.25">
      <c r="F215" s="2"/>
      <c r="K215" s="3"/>
    </row>
    <row r="216" spans="6:11" ht="12.75" customHeight="1" x14ac:dyDescent="0.25">
      <c r="F216" s="2"/>
      <c r="K216" s="3"/>
    </row>
    <row r="217" spans="6:11" ht="12.75" customHeight="1" x14ac:dyDescent="0.25">
      <c r="F217" s="2"/>
      <c r="K217" s="3"/>
    </row>
    <row r="218" spans="6:11" ht="12.75" customHeight="1" x14ac:dyDescent="0.25">
      <c r="F218" s="2"/>
      <c r="K218" s="3"/>
    </row>
    <row r="219" spans="6:11" ht="12.75" customHeight="1" x14ac:dyDescent="0.25">
      <c r="F219" s="2"/>
      <c r="K219" s="3"/>
    </row>
    <row r="220" spans="6:11" ht="12.75" customHeight="1" x14ac:dyDescent="0.25">
      <c r="F220" s="2"/>
      <c r="K220" s="3"/>
    </row>
    <row r="221" spans="6:11" ht="12.75" customHeight="1" x14ac:dyDescent="0.25">
      <c r="F221" s="2"/>
      <c r="K221" s="3"/>
    </row>
    <row r="222" spans="6:11" ht="12.75" customHeight="1" x14ac:dyDescent="0.25">
      <c r="F222" s="2"/>
      <c r="K222" s="3"/>
    </row>
    <row r="223" spans="6:11" ht="12.75" customHeight="1" x14ac:dyDescent="0.25">
      <c r="F223" s="2"/>
      <c r="K223" s="3"/>
    </row>
    <row r="224" spans="6:11" ht="12.75" customHeight="1" x14ac:dyDescent="0.25">
      <c r="F224" s="2"/>
      <c r="K224" s="3"/>
    </row>
    <row r="225" spans="6:11" ht="12.75" customHeight="1" x14ac:dyDescent="0.25">
      <c r="F225" s="2"/>
      <c r="K225" s="3"/>
    </row>
    <row r="226" spans="6:11" ht="12.75" customHeight="1" x14ac:dyDescent="0.25">
      <c r="F226" s="2"/>
      <c r="K226" s="3"/>
    </row>
    <row r="227" spans="6:11" ht="12.75" customHeight="1" x14ac:dyDescent="0.25">
      <c r="F227" s="2"/>
      <c r="K227" s="3"/>
    </row>
    <row r="228" spans="6:11" ht="12.75" customHeight="1" x14ac:dyDescent="0.25">
      <c r="F228" s="2"/>
      <c r="K228" s="3"/>
    </row>
    <row r="229" spans="6:11" ht="12.75" customHeight="1" x14ac:dyDescent="0.25">
      <c r="F229" s="2"/>
      <c r="K229" s="3"/>
    </row>
    <row r="230" spans="6:11" ht="12.75" customHeight="1" x14ac:dyDescent="0.25">
      <c r="F230" s="2"/>
      <c r="K230" s="3"/>
    </row>
    <row r="231" spans="6:11" ht="12.75" customHeight="1" x14ac:dyDescent="0.25">
      <c r="F231" s="2"/>
      <c r="K231" s="3"/>
    </row>
    <row r="232" spans="6:11" ht="12.75" customHeight="1" x14ac:dyDescent="0.25">
      <c r="F232" s="2"/>
      <c r="K232" s="3"/>
    </row>
    <row r="233" spans="6:11" ht="12.75" customHeight="1" x14ac:dyDescent="0.25">
      <c r="F233" s="2"/>
      <c r="K233" s="3"/>
    </row>
    <row r="234" spans="6:11" ht="12.75" customHeight="1" x14ac:dyDescent="0.25">
      <c r="F234" s="2"/>
      <c r="K234" s="3"/>
    </row>
    <row r="235" spans="6:11" ht="12.75" customHeight="1" x14ac:dyDescent="0.25">
      <c r="F235" s="2"/>
      <c r="K235" s="3"/>
    </row>
    <row r="236" spans="6:11" ht="12.75" customHeight="1" x14ac:dyDescent="0.25">
      <c r="F236" s="2"/>
      <c r="K236" s="3"/>
    </row>
    <row r="237" spans="6:11" ht="12.75" customHeight="1" x14ac:dyDescent="0.25">
      <c r="F237" s="2"/>
      <c r="K237" s="3"/>
    </row>
    <row r="238" spans="6:11" ht="12.75" customHeight="1" x14ac:dyDescent="0.25">
      <c r="F238" s="2"/>
      <c r="K238" s="3"/>
    </row>
    <row r="239" spans="6:11" ht="12.75" customHeight="1" x14ac:dyDescent="0.25">
      <c r="F239" s="2"/>
      <c r="K239" s="3"/>
    </row>
    <row r="240" spans="6:11" ht="12.75" customHeight="1" x14ac:dyDescent="0.25">
      <c r="F240" s="2"/>
      <c r="K240" s="3"/>
    </row>
    <row r="241" spans="6:11" ht="12.75" customHeight="1" x14ac:dyDescent="0.25">
      <c r="F241" s="2"/>
      <c r="K241" s="3"/>
    </row>
    <row r="242" spans="6:11" ht="12.75" customHeight="1" x14ac:dyDescent="0.25">
      <c r="F242" s="2"/>
      <c r="K242" s="3"/>
    </row>
    <row r="243" spans="6:11" ht="12.75" customHeight="1" x14ac:dyDescent="0.25">
      <c r="F243" s="2"/>
      <c r="K243" s="3"/>
    </row>
    <row r="244" spans="6:11" ht="12.75" customHeight="1" x14ac:dyDescent="0.25">
      <c r="F244" s="2"/>
      <c r="K244" s="3"/>
    </row>
    <row r="245" spans="6:11" ht="12.75" customHeight="1" x14ac:dyDescent="0.25">
      <c r="F245" s="2"/>
      <c r="K245" s="3"/>
    </row>
    <row r="246" spans="6:11" ht="12.75" customHeight="1" x14ac:dyDescent="0.25">
      <c r="F246" s="2"/>
      <c r="K246" s="3"/>
    </row>
    <row r="247" spans="6:11" ht="12.75" customHeight="1" x14ac:dyDescent="0.25">
      <c r="F247" s="2"/>
      <c r="K247" s="3"/>
    </row>
    <row r="248" spans="6:11" ht="12.75" customHeight="1" x14ac:dyDescent="0.25">
      <c r="F248" s="2"/>
      <c r="K248" s="3"/>
    </row>
    <row r="249" spans="6:11" ht="12.75" customHeight="1" x14ac:dyDescent="0.25">
      <c r="F249" s="2"/>
      <c r="K249" s="3"/>
    </row>
    <row r="250" spans="6:11" ht="12.75" customHeight="1" x14ac:dyDescent="0.25">
      <c r="F250" s="2"/>
      <c r="K250" s="3"/>
    </row>
    <row r="251" spans="6:11" ht="12.75" customHeight="1" x14ac:dyDescent="0.25">
      <c r="F251" s="2"/>
      <c r="K251" s="3"/>
    </row>
    <row r="252" spans="6:11" ht="12.75" customHeight="1" x14ac:dyDescent="0.25">
      <c r="F252" s="2"/>
      <c r="K252" s="3"/>
    </row>
    <row r="253" spans="6:11" ht="12.75" customHeight="1" x14ac:dyDescent="0.25">
      <c r="F253" s="2"/>
      <c r="K253" s="3"/>
    </row>
    <row r="254" spans="6:11" ht="12.75" customHeight="1" x14ac:dyDescent="0.25">
      <c r="F254" s="2"/>
      <c r="K254" s="3"/>
    </row>
    <row r="255" spans="6:11" ht="12.75" customHeight="1" x14ac:dyDescent="0.25">
      <c r="F255" s="2"/>
      <c r="K255" s="3"/>
    </row>
    <row r="256" spans="6:11" ht="12.75" customHeight="1" x14ac:dyDescent="0.25">
      <c r="F256" s="2"/>
      <c r="K256" s="3"/>
    </row>
    <row r="257" spans="6:11" ht="12.75" customHeight="1" x14ac:dyDescent="0.25">
      <c r="F257" s="2"/>
      <c r="K257" s="3"/>
    </row>
    <row r="258" spans="6:11" ht="12.75" customHeight="1" x14ac:dyDescent="0.25">
      <c r="F258" s="2"/>
      <c r="K258" s="3"/>
    </row>
    <row r="259" spans="6:11" ht="12.75" customHeight="1" x14ac:dyDescent="0.25">
      <c r="F259" s="2"/>
      <c r="K259" s="3"/>
    </row>
    <row r="260" spans="6:11" ht="12.75" customHeight="1" x14ac:dyDescent="0.25">
      <c r="F260" s="2"/>
      <c r="K260" s="3"/>
    </row>
    <row r="261" spans="6:11" ht="12.75" customHeight="1" x14ac:dyDescent="0.25">
      <c r="F261" s="2"/>
      <c r="K261" s="3"/>
    </row>
    <row r="262" spans="6:11" ht="12.75" customHeight="1" x14ac:dyDescent="0.25">
      <c r="F262" s="2"/>
      <c r="K262" s="3"/>
    </row>
    <row r="263" spans="6:11" ht="12.75" customHeight="1" x14ac:dyDescent="0.25">
      <c r="F263" s="2"/>
      <c r="K263" s="3"/>
    </row>
    <row r="264" spans="6:11" ht="12.75" customHeight="1" x14ac:dyDescent="0.25">
      <c r="F264" s="2"/>
      <c r="K264" s="3"/>
    </row>
    <row r="265" spans="6:11" ht="12.75" customHeight="1" x14ac:dyDescent="0.25">
      <c r="F265" s="2"/>
      <c r="K265" s="3"/>
    </row>
    <row r="266" spans="6:11" ht="12.75" customHeight="1" x14ac:dyDescent="0.25">
      <c r="F266" s="2"/>
      <c r="K266" s="3"/>
    </row>
    <row r="267" spans="6:11" ht="12.75" customHeight="1" x14ac:dyDescent="0.25">
      <c r="F267" s="2"/>
      <c r="K267" s="3"/>
    </row>
    <row r="268" spans="6:11" ht="12.75" customHeight="1" x14ac:dyDescent="0.25">
      <c r="F268" s="2"/>
      <c r="K268" s="3"/>
    </row>
    <row r="269" spans="6:11" ht="12.75" customHeight="1" x14ac:dyDescent="0.25">
      <c r="F269" s="2"/>
      <c r="K269" s="3"/>
    </row>
    <row r="270" spans="6:11" ht="12.75" customHeight="1" x14ac:dyDescent="0.25">
      <c r="F270" s="2"/>
      <c r="K270" s="3"/>
    </row>
    <row r="271" spans="6:11" ht="12.75" customHeight="1" x14ac:dyDescent="0.25">
      <c r="F271" s="2"/>
      <c r="K271" s="3"/>
    </row>
    <row r="272" spans="6:11" ht="12.75" customHeight="1" x14ac:dyDescent="0.25">
      <c r="F272" s="2"/>
      <c r="K272" s="3"/>
    </row>
    <row r="273" spans="6:11" ht="12.75" customHeight="1" x14ac:dyDescent="0.25">
      <c r="F273" s="2"/>
      <c r="K273" s="3"/>
    </row>
    <row r="274" spans="6:11" ht="12.75" customHeight="1" x14ac:dyDescent="0.25">
      <c r="F274" s="2"/>
      <c r="K274" s="3"/>
    </row>
    <row r="275" spans="6:11" ht="12.75" customHeight="1" x14ac:dyDescent="0.25">
      <c r="F275" s="2"/>
      <c r="K275" s="3"/>
    </row>
    <row r="276" spans="6:11" ht="12.75" customHeight="1" x14ac:dyDescent="0.25">
      <c r="F276" s="2"/>
      <c r="K276" s="3"/>
    </row>
    <row r="277" spans="6:11" ht="12.75" customHeight="1" x14ac:dyDescent="0.25">
      <c r="F277" s="2"/>
      <c r="K277" s="3"/>
    </row>
    <row r="278" spans="6:11" ht="12.75" customHeight="1" x14ac:dyDescent="0.25">
      <c r="F278" s="2"/>
      <c r="K278" s="3"/>
    </row>
    <row r="279" spans="6:11" ht="12.75" customHeight="1" x14ac:dyDescent="0.25">
      <c r="F279" s="2"/>
      <c r="K279" s="3"/>
    </row>
    <row r="280" spans="6:11" ht="12.75" customHeight="1" x14ac:dyDescent="0.25">
      <c r="F280" s="2"/>
      <c r="K280" s="3"/>
    </row>
    <row r="281" spans="6:11" ht="12.75" customHeight="1" x14ac:dyDescent="0.25">
      <c r="F281" s="2"/>
      <c r="K281" s="3"/>
    </row>
    <row r="282" spans="6:11" ht="12.75" customHeight="1" x14ac:dyDescent="0.25">
      <c r="F282" s="2"/>
      <c r="K282" s="3"/>
    </row>
    <row r="283" spans="6:11" ht="12.75" customHeight="1" x14ac:dyDescent="0.25">
      <c r="F283" s="2"/>
      <c r="K283" s="3"/>
    </row>
    <row r="284" spans="6:11" ht="12.75" customHeight="1" x14ac:dyDescent="0.25">
      <c r="F284" s="2"/>
      <c r="K284" s="3"/>
    </row>
    <row r="285" spans="6:11" ht="12.75" customHeight="1" x14ac:dyDescent="0.25">
      <c r="F285" s="2"/>
      <c r="K285" s="3"/>
    </row>
    <row r="286" spans="6:11" ht="12.75" customHeight="1" x14ac:dyDescent="0.25">
      <c r="F286" s="2"/>
      <c r="K286" s="3"/>
    </row>
    <row r="287" spans="6:11" ht="12.75" customHeight="1" x14ac:dyDescent="0.25">
      <c r="F287" s="2"/>
      <c r="K287" s="3"/>
    </row>
    <row r="288" spans="6:11" ht="12.75" customHeight="1" x14ac:dyDescent="0.25">
      <c r="F288" s="2"/>
      <c r="K288" s="3"/>
    </row>
    <row r="289" spans="6:11" ht="12.75" customHeight="1" x14ac:dyDescent="0.25">
      <c r="F289" s="2"/>
      <c r="K289" s="3"/>
    </row>
    <row r="290" spans="6:11" ht="12.75" customHeight="1" x14ac:dyDescent="0.25">
      <c r="F290" s="2"/>
      <c r="K290" s="3"/>
    </row>
    <row r="291" spans="6:11" ht="12.75" customHeight="1" x14ac:dyDescent="0.25">
      <c r="F291" s="2"/>
      <c r="K291" s="3"/>
    </row>
    <row r="292" spans="6:11" ht="12.75" customHeight="1" x14ac:dyDescent="0.25">
      <c r="F292" s="2"/>
      <c r="K292" s="3"/>
    </row>
    <row r="293" spans="6:11" ht="12.75" customHeight="1" x14ac:dyDescent="0.25">
      <c r="F293" s="2"/>
      <c r="K293" s="3"/>
    </row>
    <row r="294" spans="6:11" ht="12.75" customHeight="1" x14ac:dyDescent="0.25">
      <c r="F294" s="2"/>
      <c r="K294" s="3"/>
    </row>
    <row r="295" spans="6:11" ht="12.75" customHeight="1" x14ac:dyDescent="0.25">
      <c r="F295" s="2"/>
      <c r="K295" s="3"/>
    </row>
    <row r="296" spans="6:11" ht="12.75" customHeight="1" x14ac:dyDescent="0.25">
      <c r="F296" s="2"/>
      <c r="K296" s="3"/>
    </row>
    <row r="297" spans="6:11" ht="12.75" customHeight="1" x14ac:dyDescent="0.25">
      <c r="F297" s="2"/>
      <c r="K297" s="3"/>
    </row>
    <row r="298" spans="6:11" ht="12.75" customHeight="1" x14ac:dyDescent="0.25">
      <c r="F298" s="2"/>
      <c r="K298" s="3"/>
    </row>
    <row r="299" spans="6:11" ht="12.75" customHeight="1" x14ac:dyDescent="0.25">
      <c r="F299" s="2"/>
      <c r="K299" s="3"/>
    </row>
    <row r="300" spans="6:11" ht="12.75" customHeight="1" x14ac:dyDescent="0.25">
      <c r="F300" s="2"/>
      <c r="K300" s="3"/>
    </row>
    <row r="301" spans="6:11" ht="12.75" customHeight="1" x14ac:dyDescent="0.25">
      <c r="F301" s="2"/>
      <c r="K301" s="3"/>
    </row>
    <row r="302" spans="6:11" ht="12.75" customHeight="1" x14ac:dyDescent="0.25">
      <c r="F302" s="2"/>
      <c r="K302" s="3"/>
    </row>
    <row r="303" spans="6:11" ht="12.75" customHeight="1" x14ac:dyDescent="0.25">
      <c r="F303" s="2"/>
      <c r="K303" s="3"/>
    </row>
    <row r="304" spans="6:11" ht="12.75" customHeight="1" x14ac:dyDescent="0.25">
      <c r="F304" s="2"/>
      <c r="K304" s="3"/>
    </row>
    <row r="305" spans="6:11" ht="12.75" customHeight="1" x14ac:dyDescent="0.25">
      <c r="F305" s="2"/>
      <c r="K305" s="3"/>
    </row>
    <row r="306" spans="6:11" ht="12.75" customHeight="1" x14ac:dyDescent="0.25">
      <c r="F306" s="2"/>
      <c r="K306" s="3"/>
    </row>
    <row r="307" spans="6:11" ht="12.75" customHeight="1" x14ac:dyDescent="0.25">
      <c r="F307" s="2"/>
      <c r="K307" s="3"/>
    </row>
    <row r="308" spans="6:11" ht="12.75" customHeight="1" x14ac:dyDescent="0.25">
      <c r="F308" s="2"/>
      <c r="K308" s="3"/>
    </row>
    <row r="309" spans="6:11" ht="12.75" customHeight="1" x14ac:dyDescent="0.25">
      <c r="F309" s="2"/>
      <c r="K309" s="3"/>
    </row>
    <row r="310" spans="6:11" ht="12.75" customHeight="1" x14ac:dyDescent="0.25">
      <c r="F310" s="2"/>
      <c r="K310" s="3"/>
    </row>
    <row r="311" spans="6:11" ht="12.75" customHeight="1" x14ac:dyDescent="0.25">
      <c r="F311" s="2"/>
      <c r="K311" s="3"/>
    </row>
    <row r="312" spans="6:11" ht="12.75" customHeight="1" x14ac:dyDescent="0.25">
      <c r="F312" s="2"/>
      <c r="K312" s="3"/>
    </row>
    <row r="313" spans="6:11" ht="12.75" customHeight="1" x14ac:dyDescent="0.25">
      <c r="F313" s="2"/>
      <c r="K313" s="3"/>
    </row>
    <row r="314" spans="6:11" ht="12.75" customHeight="1" x14ac:dyDescent="0.25">
      <c r="F314" s="2"/>
      <c r="K314" s="3"/>
    </row>
    <row r="315" spans="6:11" ht="12.75" customHeight="1" x14ac:dyDescent="0.25">
      <c r="F315" s="2"/>
      <c r="K315" s="3"/>
    </row>
    <row r="316" spans="6:11" ht="12.75" customHeight="1" x14ac:dyDescent="0.25">
      <c r="F316" s="2"/>
      <c r="K316" s="3"/>
    </row>
    <row r="317" spans="6:11" ht="12.75" customHeight="1" x14ac:dyDescent="0.25">
      <c r="F317" s="2"/>
      <c r="K317" s="3"/>
    </row>
    <row r="318" spans="6:11" ht="12.75" customHeight="1" x14ac:dyDescent="0.25">
      <c r="F318" s="2"/>
      <c r="K318" s="3"/>
    </row>
    <row r="319" spans="6:11" ht="12.75" customHeight="1" x14ac:dyDescent="0.25">
      <c r="F319" s="2"/>
      <c r="K319" s="3"/>
    </row>
    <row r="320" spans="6:11" ht="12.75" customHeight="1" x14ac:dyDescent="0.25">
      <c r="F320" s="2"/>
      <c r="K320" s="3"/>
    </row>
    <row r="321" spans="6:11" ht="12.75" customHeight="1" x14ac:dyDescent="0.25">
      <c r="F321" s="2"/>
      <c r="K321" s="3"/>
    </row>
    <row r="322" spans="6:11" ht="12.75" customHeight="1" x14ac:dyDescent="0.25">
      <c r="F322" s="2"/>
      <c r="K322" s="3"/>
    </row>
    <row r="323" spans="6:11" ht="12.75" customHeight="1" x14ac:dyDescent="0.25">
      <c r="F323" s="2"/>
      <c r="K323" s="3"/>
    </row>
    <row r="324" spans="6:11" ht="12.75" customHeight="1" x14ac:dyDescent="0.25">
      <c r="F324" s="2"/>
      <c r="K324" s="3"/>
    </row>
    <row r="325" spans="6:11" ht="12.75" customHeight="1" x14ac:dyDescent="0.25">
      <c r="F325" s="2"/>
      <c r="K325" s="3"/>
    </row>
    <row r="326" spans="6:11" ht="12.75" customHeight="1" x14ac:dyDescent="0.25">
      <c r="F326" s="2"/>
      <c r="K326" s="3"/>
    </row>
    <row r="327" spans="6:11" ht="12.75" customHeight="1" x14ac:dyDescent="0.25">
      <c r="F327" s="2"/>
      <c r="K327" s="3"/>
    </row>
    <row r="328" spans="6:11" ht="12.75" customHeight="1" x14ac:dyDescent="0.25">
      <c r="F328" s="2"/>
      <c r="K328" s="3"/>
    </row>
    <row r="329" spans="6:11" ht="12.75" customHeight="1" x14ac:dyDescent="0.25">
      <c r="F329" s="2"/>
      <c r="K329" s="3"/>
    </row>
    <row r="330" spans="6:11" ht="12.75" customHeight="1" x14ac:dyDescent="0.25">
      <c r="F330" s="2"/>
      <c r="K330" s="3"/>
    </row>
    <row r="331" spans="6:11" ht="12.75" customHeight="1" x14ac:dyDescent="0.25">
      <c r="F331" s="2"/>
      <c r="K331" s="3"/>
    </row>
    <row r="332" spans="6:11" ht="12.75" customHeight="1" x14ac:dyDescent="0.25">
      <c r="F332" s="2"/>
      <c r="K332" s="3"/>
    </row>
    <row r="333" spans="6:11" ht="12.75" customHeight="1" x14ac:dyDescent="0.25">
      <c r="F333" s="2"/>
      <c r="K333" s="3"/>
    </row>
    <row r="334" spans="6:11" ht="12.75" customHeight="1" x14ac:dyDescent="0.25">
      <c r="F334" s="2"/>
      <c r="K334" s="3"/>
    </row>
    <row r="335" spans="6:11" ht="12.75" customHeight="1" x14ac:dyDescent="0.25">
      <c r="F335" s="2"/>
      <c r="K335" s="3"/>
    </row>
    <row r="336" spans="6:11" ht="12.75" customHeight="1" x14ac:dyDescent="0.25">
      <c r="F336" s="2"/>
      <c r="K336" s="3"/>
    </row>
    <row r="337" spans="6:11" ht="12.75" customHeight="1" x14ac:dyDescent="0.25">
      <c r="F337" s="2"/>
      <c r="K337" s="3"/>
    </row>
    <row r="338" spans="6:11" ht="12.75" customHeight="1" x14ac:dyDescent="0.25">
      <c r="F338" s="2"/>
      <c r="K338" s="3"/>
    </row>
    <row r="339" spans="6:11" ht="12.75" customHeight="1" x14ac:dyDescent="0.25">
      <c r="F339" s="2"/>
      <c r="K339" s="3"/>
    </row>
    <row r="340" spans="6:11" ht="12.75" customHeight="1" x14ac:dyDescent="0.25">
      <c r="F340" s="2"/>
      <c r="K340" s="3"/>
    </row>
    <row r="341" spans="6:11" ht="12.75" customHeight="1" x14ac:dyDescent="0.25">
      <c r="F341" s="2"/>
      <c r="K341" s="3"/>
    </row>
    <row r="342" spans="6:11" ht="12.75" customHeight="1" x14ac:dyDescent="0.25">
      <c r="F342" s="2"/>
      <c r="K342" s="3"/>
    </row>
    <row r="343" spans="6:11" ht="12.75" customHeight="1" x14ac:dyDescent="0.25">
      <c r="F343" s="2"/>
      <c r="K343" s="3"/>
    </row>
    <row r="344" spans="6:11" ht="12.75" customHeight="1" x14ac:dyDescent="0.25">
      <c r="F344" s="2"/>
      <c r="K344" s="3"/>
    </row>
    <row r="345" spans="6:11" ht="12.75" customHeight="1" x14ac:dyDescent="0.25">
      <c r="F345" s="2"/>
      <c r="K345" s="3"/>
    </row>
    <row r="346" spans="6:11" ht="12.75" customHeight="1" x14ac:dyDescent="0.25">
      <c r="F346" s="2"/>
      <c r="K346" s="3"/>
    </row>
    <row r="347" spans="6:11" ht="12.75" customHeight="1" x14ac:dyDescent="0.25">
      <c r="F347" s="2"/>
      <c r="K347" s="3"/>
    </row>
    <row r="348" spans="6:11" ht="12.75" customHeight="1" x14ac:dyDescent="0.25">
      <c r="F348" s="2"/>
      <c r="K348" s="3"/>
    </row>
    <row r="349" spans="6:11" ht="12.75" customHeight="1" x14ac:dyDescent="0.25">
      <c r="F349" s="2"/>
      <c r="K349" s="3"/>
    </row>
    <row r="350" spans="6:11" ht="12.75" customHeight="1" x14ac:dyDescent="0.25">
      <c r="F350" s="2"/>
      <c r="K350" s="3"/>
    </row>
    <row r="351" spans="6:11" ht="12.75" customHeight="1" x14ac:dyDescent="0.25">
      <c r="F351" s="2"/>
      <c r="K351" s="3"/>
    </row>
    <row r="352" spans="6:11" ht="12.75" customHeight="1" x14ac:dyDescent="0.25">
      <c r="F352" s="2"/>
      <c r="K352" s="3"/>
    </row>
    <row r="353" spans="6:11" ht="12.75" customHeight="1" x14ac:dyDescent="0.25">
      <c r="F353" s="2"/>
      <c r="K353" s="3"/>
    </row>
    <row r="354" spans="6:11" ht="12.75" customHeight="1" x14ac:dyDescent="0.25">
      <c r="F354" s="2"/>
      <c r="K354" s="3"/>
    </row>
    <row r="355" spans="6:11" ht="12.75" customHeight="1" x14ac:dyDescent="0.25">
      <c r="F355" s="2"/>
      <c r="K355" s="3"/>
    </row>
    <row r="356" spans="6:11" ht="12.75" customHeight="1" x14ac:dyDescent="0.25">
      <c r="F356" s="2"/>
      <c r="K356" s="3"/>
    </row>
    <row r="357" spans="6:11" ht="12.75" customHeight="1" x14ac:dyDescent="0.25">
      <c r="F357" s="2"/>
      <c r="K357" s="3"/>
    </row>
    <row r="358" spans="6:11" ht="12.75" customHeight="1" x14ac:dyDescent="0.25">
      <c r="F358" s="2"/>
      <c r="K358" s="3"/>
    </row>
    <row r="359" spans="6:11" ht="12.75" customHeight="1" x14ac:dyDescent="0.25">
      <c r="F359" s="2"/>
      <c r="K359" s="3"/>
    </row>
    <row r="360" spans="6:11" ht="12.75" customHeight="1" x14ac:dyDescent="0.25">
      <c r="F360" s="2"/>
      <c r="K360" s="3"/>
    </row>
    <row r="361" spans="6:11" ht="12.75" customHeight="1" x14ac:dyDescent="0.25">
      <c r="F361" s="2"/>
      <c r="K361" s="3"/>
    </row>
    <row r="362" spans="6:11" ht="12.75" customHeight="1" x14ac:dyDescent="0.25">
      <c r="F362" s="2"/>
      <c r="K362" s="3"/>
    </row>
    <row r="363" spans="6:11" ht="12.75" customHeight="1" x14ac:dyDescent="0.25">
      <c r="F363" s="2"/>
      <c r="K363" s="3"/>
    </row>
    <row r="364" spans="6:11" ht="12.75" customHeight="1" x14ac:dyDescent="0.25">
      <c r="F364" s="2"/>
      <c r="K364" s="3"/>
    </row>
    <row r="365" spans="6:11" ht="12.75" customHeight="1" x14ac:dyDescent="0.25">
      <c r="F365" s="2"/>
      <c r="K365" s="3"/>
    </row>
    <row r="366" spans="6:11" ht="12.75" customHeight="1" x14ac:dyDescent="0.25">
      <c r="F366" s="2"/>
      <c r="K366" s="3"/>
    </row>
    <row r="367" spans="6:11" ht="12.75" customHeight="1" x14ac:dyDescent="0.25">
      <c r="F367" s="2"/>
      <c r="K367" s="3"/>
    </row>
    <row r="368" spans="6:11" ht="12.75" customHeight="1" x14ac:dyDescent="0.25">
      <c r="F368" s="2"/>
      <c r="K368" s="3"/>
    </row>
    <row r="369" spans="6:11" ht="12.75" customHeight="1" x14ac:dyDescent="0.25">
      <c r="F369" s="2"/>
      <c r="K369" s="3"/>
    </row>
    <row r="370" spans="6:11" ht="12.75" customHeight="1" x14ac:dyDescent="0.25">
      <c r="F370" s="2"/>
      <c r="K370" s="3"/>
    </row>
    <row r="371" spans="6:11" ht="12.75" customHeight="1" x14ac:dyDescent="0.25">
      <c r="F371" s="2"/>
      <c r="K371" s="3"/>
    </row>
    <row r="372" spans="6:11" ht="12.75" customHeight="1" x14ac:dyDescent="0.25">
      <c r="F372" s="2"/>
      <c r="K372" s="3"/>
    </row>
    <row r="373" spans="6:11" ht="12.75" customHeight="1" x14ac:dyDescent="0.25">
      <c r="F373" s="2"/>
      <c r="K373" s="3"/>
    </row>
    <row r="374" spans="6:11" ht="12.75" customHeight="1" x14ac:dyDescent="0.25">
      <c r="F374" s="2"/>
      <c r="K374" s="3"/>
    </row>
    <row r="375" spans="6:11" ht="12.75" customHeight="1" x14ac:dyDescent="0.25">
      <c r="F375" s="2"/>
      <c r="K375" s="3"/>
    </row>
    <row r="376" spans="6:11" ht="12.75" customHeight="1" x14ac:dyDescent="0.25">
      <c r="F376" s="2"/>
      <c r="K376" s="3"/>
    </row>
    <row r="377" spans="6:11" ht="12.75" customHeight="1" x14ac:dyDescent="0.25">
      <c r="F377" s="2"/>
      <c r="K377" s="3"/>
    </row>
    <row r="378" spans="6:11" ht="12.75" customHeight="1" x14ac:dyDescent="0.25">
      <c r="F378" s="2"/>
      <c r="K378" s="3"/>
    </row>
    <row r="379" spans="6:11" ht="12.75" customHeight="1" x14ac:dyDescent="0.25">
      <c r="F379" s="2"/>
      <c r="K379" s="3"/>
    </row>
    <row r="380" spans="6:11" ht="12.75" customHeight="1" x14ac:dyDescent="0.25">
      <c r="F380" s="2"/>
      <c r="K380" s="3"/>
    </row>
    <row r="381" spans="6:11" ht="12.75" customHeight="1" x14ac:dyDescent="0.25">
      <c r="F381" s="2"/>
      <c r="K381" s="3"/>
    </row>
    <row r="382" spans="6:11" ht="12.75" customHeight="1" x14ac:dyDescent="0.25">
      <c r="F382" s="2"/>
      <c r="K382" s="3"/>
    </row>
    <row r="383" spans="6:11" ht="12.75" customHeight="1" x14ac:dyDescent="0.25">
      <c r="F383" s="2"/>
      <c r="K383" s="3"/>
    </row>
    <row r="384" spans="6:11" ht="12.75" customHeight="1" x14ac:dyDescent="0.25">
      <c r="F384" s="2"/>
      <c r="K384" s="3"/>
    </row>
    <row r="385" spans="6:11" ht="12.75" customHeight="1" x14ac:dyDescent="0.25">
      <c r="F385" s="2"/>
      <c r="K385" s="3"/>
    </row>
    <row r="386" spans="6:11" ht="12.75" customHeight="1" x14ac:dyDescent="0.25">
      <c r="F386" s="2"/>
      <c r="K386" s="3"/>
    </row>
    <row r="387" spans="6:11" ht="12.75" customHeight="1" x14ac:dyDescent="0.25">
      <c r="F387" s="2"/>
      <c r="K387" s="3"/>
    </row>
    <row r="388" spans="6:11" ht="12.75" customHeight="1" x14ac:dyDescent="0.25">
      <c r="F388" s="2"/>
      <c r="K388" s="3"/>
    </row>
    <row r="389" spans="6:11" ht="12.75" customHeight="1" x14ac:dyDescent="0.25">
      <c r="F389" s="2"/>
      <c r="K389" s="3"/>
    </row>
    <row r="390" spans="6:11" ht="12.75" customHeight="1" x14ac:dyDescent="0.25">
      <c r="F390" s="2"/>
      <c r="K390" s="3"/>
    </row>
    <row r="391" spans="6:11" ht="12.75" customHeight="1" x14ac:dyDescent="0.25">
      <c r="F391" s="2"/>
      <c r="K391" s="3"/>
    </row>
    <row r="392" spans="6:11" ht="12.75" customHeight="1" x14ac:dyDescent="0.25">
      <c r="F392" s="2"/>
      <c r="K392" s="3"/>
    </row>
    <row r="393" spans="6:11" ht="12.75" customHeight="1" x14ac:dyDescent="0.25">
      <c r="F393" s="2"/>
      <c r="K393" s="3"/>
    </row>
    <row r="394" spans="6:11" ht="12.75" customHeight="1" x14ac:dyDescent="0.25">
      <c r="F394" s="2"/>
      <c r="K394" s="3"/>
    </row>
    <row r="395" spans="6:11" ht="12.75" customHeight="1" x14ac:dyDescent="0.25">
      <c r="F395" s="2"/>
      <c r="K395" s="3"/>
    </row>
    <row r="396" spans="6:11" ht="12.75" customHeight="1" x14ac:dyDescent="0.25">
      <c r="F396" s="2"/>
      <c r="K396" s="3"/>
    </row>
    <row r="397" spans="6:11" ht="12.75" customHeight="1" x14ac:dyDescent="0.25">
      <c r="F397" s="2"/>
      <c r="K397" s="3"/>
    </row>
    <row r="398" spans="6:11" ht="12.75" customHeight="1" x14ac:dyDescent="0.25">
      <c r="F398" s="2"/>
      <c r="K398" s="3"/>
    </row>
    <row r="399" spans="6:11" ht="12.75" customHeight="1" x14ac:dyDescent="0.25">
      <c r="F399" s="2"/>
      <c r="K399" s="3"/>
    </row>
    <row r="400" spans="6:11" ht="12.75" customHeight="1" x14ac:dyDescent="0.25">
      <c r="F400" s="2"/>
      <c r="K400" s="3"/>
    </row>
    <row r="401" spans="6:11" ht="12.75" customHeight="1" x14ac:dyDescent="0.25">
      <c r="F401" s="2"/>
      <c r="K401" s="3"/>
    </row>
    <row r="402" spans="6:11" ht="12.75" customHeight="1" x14ac:dyDescent="0.25">
      <c r="F402" s="2"/>
      <c r="K402" s="3"/>
    </row>
    <row r="403" spans="6:11" ht="12.75" customHeight="1" x14ac:dyDescent="0.25">
      <c r="F403" s="2"/>
      <c r="K403" s="3"/>
    </row>
    <row r="404" spans="6:11" ht="12.75" customHeight="1" x14ac:dyDescent="0.25">
      <c r="F404" s="2"/>
      <c r="K404" s="3"/>
    </row>
    <row r="405" spans="6:11" ht="12.75" customHeight="1" x14ac:dyDescent="0.25">
      <c r="F405" s="2"/>
      <c r="K405" s="3"/>
    </row>
    <row r="406" spans="6:11" ht="12.75" customHeight="1" x14ac:dyDescent="0.25">
      <c r="F406" s="2"/>
      <c r="K406" s="3"/>
    </row>
    <row r="407" spans="6:11" ht="12.75" customHeight="1" x14ac:dyDescent="0.25">
      <c r="F407" s="2"/>
      <c r="K407" s="3"/>
    </row>
    <row r="408" spans="6:11" ht="12.75" customHeight="1" x14ac:dyDescent="0.25">
      <c r="F408" s="2"/>
      <c r="K408" s="3"/>
    </row>
    <row r="409" spans="6:11" ht="12.75" customHeight="1" x14ac:dyDescent="0.25">
      <c r="F409" s="2"/>
      <c r="K409" s="3"/>
    </row>
    <row r="410" spans="6:11" ht="12.75" customHeight="1" x14ac:dyDescent="0.25">
      <c r="F410" s="2"/>
      <c r="K410" s="3"/>
    </row>
    <row r="411" spans="6:11" ht="12.75" customHeight="1" x14ac:dyDescent="0.25">
      <c r="F411" s="2"/>
      <c r="K411" s="3"/>
    </row>
    <row r="412" spans="6:11" ht="12.75" customHeight="1" x14ac:dyDescent="0.25">
      <c r="F412" s="2"/>
      <c r="K412" s="3"/>
    </row>
    <row r="413" spans="6:11" ht="12.75" customHeight="1" x14ac:dyDescent="0.25">
      <c r="F413" s="2"/>
      <c r="K413" s="3"/>
    </row>
    <row r="414" spans="6:11" ht="12.75" customHeight="1" x14ac:dyDescent="0.25">
      <c r="F414" s="2"/>
      <c r="K414" s="3"/>
    </row>
    <row r="415" spans="6:11" ht="12.75" customHeight="1" x14ac:dyDescent="0.25">
      <c r="F415" s="2"/>
      <c r="K415" s="3"/>
    </row>
    <row r="416" spans="6:11" ht="12.75" customHeight="1" x14ac:dyDescent="0.25">
      <c r="F416" s="2"/>
      <c r="K416" s="3"/>
    </row>
    <row r="417" spans="6:11" ht="12.75" customHeight="1" x14ac:dyDescent="0.25">
      <c r="F417" s="2"/>
      <c r="K417" s="3"/>
    </row>
    <row r="418" spans="6:11" ht="12.75" customHeight="1" x14ac:dyDescent="0.25">
      <c r="F418" s="2"/>
      <c r="K418" s="3"/>
    </row>
    <row r="419" spans="6:11" ht="12.75" customHeight="1" x14ac:dyDescent="0.25">
      <c r="F419" s="2"/>
      <c r="K419" s="3"/>
    </row>
    <row r="420" spans="6:11" ht="12.75" customHeight="1" x14ac:dyDescent="0.25">
      <c r="F420" s="2"/>
      <c r="K420" s="3"/>
    </row>
    <row r="421" spans="6:11" ht="12.75" customHeight="1" x14ac:dyDescent="0.25">
      <c r="F421" s="2"/>
      <c r="K421" s="3"/>
    </row>
    <row r="422" spans="6:11" ht="12.75" customHeight="1" x14ac:dyDescent="0.25">
      <c r="F422" s="2"/>
      <c r="K422" s="3"/>
    </row>
    <row r="423" spans="6:11" ht="12.75" customHeight="1" x14ac:dyDescent="0.25">
      <c r="F423" s="2"/>
      <c r="K423" s="3"/>
    </row>
    <row r="424" spans="6:11" ht="12.75" customHeight="1" x14ac:dyDescent="0.25">
      <c r="F424" s="2"/>
      <c r="K424" s="3"/>
    </row>
    <row r="425" spans="6:11" ht="12.75" customHeight="1" x14ac:dyDescent="0.25">
      <c r="F425" s="2"/>
      <c r="K425" s="3"/>
    </row>
    <row r="426" spans="6:11" ht="12.75" customHeight="1" x14ac:dyDescent="0.25">
      <c r="F426" s="2"/>
      <c r="K426" s="3"/>
    </row>
    <row r="427" spans="6:11" ht="12.75" customHeight="1" x14ac:dyDescent="0.25">
      <c r="F427" s="2"/>
      <c r="K427" s="3"/>
    </row>
    <row r="428" spans="6:11" ht="12.75" customHeight="1" x14ac:dyDescent="0.25">
      <c r="F428" s="2"/>
      <c r="K428" s="3"/>
    </row>
    <row r="429" spans="6:11" ht="12.75" customHeight="1" x14ac:dyDescent="0.25">
      <c r="F429" s="2"/>
      <c r="K429" s="3"/>
    </row>
    <row r="430" spans="6:11" ht="12.75" customHeight="1" x14ac:dyDescent="0.25">
      <c r="F430" s="2"/>
      <c r="K430" s="3"/>
    </row>
    <row r="431" spans="6:11" ht="12.75" customHeight="1" x14ac:dyDescent="0.25">
      <c r="F431" s="2"/>
      <c r="K431" s="3"/>
    </row>
    <row r="432" spans="6:11" ht="12.75" customHeight="1" x14ac:dyDescent="0.25">
      <c r="F432" s="2"/>
      <c r="K432" s="3"/>
    </row>
    <row r="433" spans="6:11" ht="12.75" customHeight="1" x14ac:dyDescent="0.25">
      <c r="F433" s="2"/>
      <c r="K433" s="3"/>
    </row>
    <row r="434" spans="6:11" ht="12.75" customHeight="1" x14ac:dyDescent="0.25">
      <c r="F434" s="2"/>
      <c r="K434" s="3"/>
    </row>
    <row r="435" spans="6:11" ht="12.75" customHeight="1" x14ac:dyDescent="0.25">
      <c r="F435" s="2"/>
      <c r="K435" s="3"/>
    </row>
    <row r="436" spans="6:11" ht="12.75" customHeight="1" x14ac:dyDescent="0.25">
      <c r="F436" s="2"/>
      <c r="K436" s="3"/>
    </row>
    <row r="437" spans="6:11" ht="12.75" customHeight="1" x14ac:dyDescent="0.25">
      <c r="F437" s="2"/>
      <c r="K437" s="3"/>
    </row>
    <row r="438" spans="6:11" ht="12.75" customHeight="1" x14ac:dyDescent="0.25">
      <c r="F438" s="2"/>
      <c r="K438" s="3"/>
    </row>
    <row r="439" spans="6:11" ht="12.75" customHeight="1" x14ac:dyDescent="0.25">
      <c r="F439" s="2"/>
      <c r="K439" s="3"/>
    </row>
    <row r="440" spans="6:11" ht="12.75" customHeight="1" x14ac:dyDescent="0.25">
      <c r="F440" s="2"/>
      <c r="K440" s="3"/>
    </row>
    <row r="441" spans="6:11" ht="12.75" customHeight="1" x14ac:dyDescent="0.25">
      <c r="F441" s="2"/>
      <c r="K441" s="3"/>
    </row>
    <row r="442" spans="6:11" ht="12.75" customHeight="1" x14ac:dyDescent="0.25">
      <c r="F442" s="2"/>
      <c r="K442" s="3"/>
    </row>
    <row r="443" spans="6:11" ht="12.75" customHeight="1" x14ac:dyDescent="0.25">
      <c r="F443" s="2"/>
      <c r="K443" s="3"/>
    </row>
    <row r="444" spans="6:11" ht="12.75" customHeight="1" x14ac:dyDescent="0.25">
      <c r="F444" s="2"/>
      <c r="K444" s="3"/>
    </row>
    <row r="445" spans="6:11" ht="12.75" customHeight="1" x14ac:dyDescent="0.25">
      <c r="F445" s="2"/>
      <c r="K445" s="3"/>
    </row>
    <row r="446" spans="6:11" ht="12.75" customHeight="1" x14ac:dyDescent="0.25">
      <c r="F446" s="2"/>
      <c r="K446" s="3"/>
    </row>
    <row r="447" spans="6:11" ht="12.75" customHeight="1" x14ac:dyDescent="0.25">
      <c r="F447" s="2"/>
      <c r="K447" s="3"/>
    </row>
    <row r="448" spans="6:11" ht="12.75" customHeight="1" x14ac:dyDescent="0.25">
      <c r="F448" s="2"/>
      <c r="K448" s="3"/>
    </row>
    <row r="449" spans="6:11" ht="12.75" customHeight="1" x14ac:dyDescent="0.25">
      <c r="F449" s="2"/>
      <c r="K449" s="3"/>
    </row>
    <row r="450" spans="6:11" ht="12.75" customHeight="1" x14ac:dyDescent="0.25">
      <c r="F450" s="2"/>
      <c r="K450" s="3"/>
    </row>
    <row r="451" spans="6:11" ht="12.75" customHeight="1" x14ac:dyDescent="0.25">
      <c r="F451" s="2"/>
      <c r="K451" s="3"/>
    </row>
    <row r="452" spans="6:11" ht="12.75" customHeight="1" x14ac:dyDescent="0.25">
      <c r="F452" s="2"/>
      <c r="K452" s="3"/>
    </row>
    <row r="453" spans="6:11" ht="12.75" customHeight="1" x14ac:dyDescent="0.25">
      <c r="F453" s="2"/>
      <c r="K453" s="3"/>
    </row>
    <row r="454" spans="6:11" ht="12.75" customHeight="1" x14ac:dyDescent="0.25">
      <c r="F454" s="2"/>
      <c r="K454" s="3"/>
    </row>
    <row r="455" spans="6:11" ht="12.75" customHeight="1" x14ac:dyDescent="0.25">
      <c r="F455" s="2"/>
      <c r="K455" s="3"/>
    </row>
    <row r="456" spans="6:11" ht="12.75" customHeight="1" x14ac:dyDescent="0.25">
      <c r="F456" s="2"/>
      <c r="K456" s="3"/>
    </row>
    <row r="457" spans="6:11" ht="12.75" customHeight="1" x14ac:dyDescent="0.25">
      <c r="F457" s="2"/>
      <c r="K457" s="3"/>
    </row>
    <row r="458" spans="6:11" ht="12.75" customHeight="1" x14ac:dyDescent="0.25">
      <c r="F458" s="2"/>
      <c r="K458" s="3"/>
    </row>
    <row r="459" spans="6:11" ht="12.75" customHeight="1" x14ac:dyDescent="0.25">
      <c r="F459" s="2"/>
      <c r="K459" s="3"/>
    </row>
    <row r="460" spans="6:11" ht="12.75" customHeight="1" x14ac:dyDescent="0.25">
      <c r="F460" s="2"/>
      <c r="K460" s="3"/>
    </row>
    <row r="461" spans="6:11" ht="12.75" customHeight="1" x14ac:dyDescent="0.25">
      <c r="F461" s="2"/>
      <c r="K461" s="3"/>
    </row>
    <row r="462" spans="6:11" ht="12.75" customHeight="1" x14ac:dyDescent="0.25">
      <c r="F462" s="2"/>
      <c r="K462" s="3"/>
    </row>
    <row r="463" spans="6:11" ht="12.75" customHeight="1" x14ac:dyDescent="0.25">
      <c r="F463" s="2"/>
      <c r="K463" s="3"/>
    </row>
    <row r="464" spans="6:11" ht="12.75" customHeight="1" x14ac:dyDescent="0.25">
      <c r="K464" s="3"/>
    </row>
    <row r="465" spans="11:11" ht="12.75" customHeight="1" x14ac:dyDescent="0.25">
      <c r="K465" s="3"/>
    </row>
    <row r="466" spans="11:11" ht="12.75" customHeight="1" x14ac:dyDescent="0.25">
      <c r="K466" s="3"/>
    </row>
    <row r="467" spans="11:11" ht="12.75" customHeight="1" x14ac:dyDescent="0.25">
      <c r="K467" s="3"/>
    </row>
    <row r="468" spans="11:11" ht="12.75" customHeight="1" x14ac:dyDescent="0.25">
      <c r="K468" s="3"/>
    </row>
    <row r="469" spans="11:11" ht="12.75" customHeight="1" x14ac:dyDescent="0.25">
      <c r="K469" s="3"/>
    </row>
    <row r="470" spans="11:11" ht="12.75" customHeight="1" x14ac:dyDescent="0.25">
      <c r="K470" s="3"/>
    </row>
    <row r="471" spans="11:11" ht="12.75" customHeight="1" x14ac:dyDescent="0.25">
      <c r="K471" s="3"/>
    </row>
    <row r="472" spans="11:11" ht="12.75" customHeight="1" x14ac:dyDescent="0.25">
      <c r="K472" s="3"/>
    </row>
    <row r="473" spans="11:11" ht="12.75" customHeight="1" x14ac:dyDescent="0.25">
      <c r="K473" s="3"/>
    </row>
    <row r="474" spans="11:11" ht="12.75" customHeight="1" x14ac:dyDescent="0.25">
      <c r="K474" s="3"/>
    </row>
    <row r="475" spans="11:11" ht="12.75" customHeight="1" x14ac:dyDescent="0.25">
      <c r="K475" s="3"/>
    </row>
    <row r="476" spans="11:11" ht="12.75" customHeight="1" x14ac:dyDescent="0.25">
      <c r="K476" s="3"/>
    </row>
    <row r="477" spans="11:11" ht="12.75" customHeight="1" x14ac:dyDescent="0.25">
      <c r="K477" s="3"/>
    </row>
    <row r="478" spans="11:11" ht="12.75" customHeight="1" x14ac:dyDescent="0.25">
      <c r="K478" s="3"/>
    </row>
    <row r="479" spans="11:11" ht="12.75" customHeight="1" x14ac:dyDescent="0.25">
      <c r="K479" s="3"/>
    </row>
    <row r="480" spans="11:11" ht="12.75" customHeight="1" x14ac:dyDescent="0.25">
      <c r="K480" s="3"/>
    </row>
    <row r="481" spans="11:11" ht="12.75" customHeight="1" x14ac:dyDescent="0.25">
      <c r="K481" s="3"/>
    </row>
    <row r="482" spans="11:11" ht="12.75" customHeight="1" x14ac:dyDescent="0.25">
      <c r="K482" s="3"/>
    </row>
    <row r="483" spans="11:11" ht="12.75" customHeight="1" x14ac:dyDescent="0.25">
      <c r="K483" s="3"/>
    </row>
    <row r="484" spans="11:11" ht="12.75" customHeight="1" x14ac:dyDescent="0.25">
      <c r="K484" s="3"/>
    </row>
    <row r="485" spans="11:11" ht="12.75" customHeight="1" x14ac:dyDescent="0.25">
      <c r="K485" s="3"/>
    </row>
    <row r="486" spans="11:11" ht="12.75" customHeight="1" x14ac:dyDescent="0.25">
      <c r="K486" s="3"/>
    </row>
    <row r="487" spans="11:11" ht="12.75" customHeight="1" x14ac:dyDescent="0.25">
      <c r="K487" s="3"/>
    </row>
    <row r="488" spans="11:11" ht="12.75" customHeight="1" x14ac:dyDescent="0.25">
      <c r="K488" s="3"/>
    </row>
    <row r="489" spans="11:11" ht="12.75" customHeight="1" x14ac:dyDescent="0.25">
      <c r="K489" s="3"/>
    </row>
    <row r="490" spans="11:11" ht="12.75" customHeight="1" x14ac:dyDescent="0.25">
      <c r="K490" s="3"/>
    </row>
    <row r="491" spans="11:11" ht="12.75" customHeight="1" x14ac:dyDescent="0.25">
      <c r="K491" s="3"/>
    </row>
    <row r="492" spans="11:11" ht="12.75" customHeight="1" x14ac:dyDescent="0.25">
      <c r="K492" s="3"/>
    </row>
    <row r="493" spans="11:11" ht="12.75" customHeight="1" x14ac:dyDescent="0.25">
      <c r="K493" s="3"/>
    </row>
    <row r="494" spans="11:11" ht="12.75" customHeight="1" x14ac:dyDescent="0.25">
      <c r="K494" s="3"/>
    </row>
    <row r="495" spans="11:11" ht="12.75" customHeight="1" x14ac:dyDescent="0.25">
      <c r="K495" s="3"/>
    </row>
    <row r="496" spans="11:11" ht="12.75" customHeight="1" x14ac:dyDescent="0.25">
      <c r="K496" s="3"/>
    </row>
    <row r="497" spans="11:11" ht="12.75" customHeight="1" x14ac:dyDescent="0.25">
      <c r="K497" s="3"/>
    </row>
    <row r="498" spans="11:11" ht="12.75" customHeight="1" x14ac:dyDescent="0.25">
      <c r="K498" s="3"/>
    </row>
    <row r="499" spans="11:11" ht="12.75" customHeight="1" x14ac:dyDescent="0.25">
      <c r="K499" s="3"/>
    </row>
    <row r="500" spans="11:11" ht="12.75" customHeight="1" x14ac:dyDescent="0.25">
      <c r="K500" s="3"/>
    </row>
    <row r="501" spans="11:11" ht="12.75" customHeight="1" x14ac:dyDescent="0.25">
      <c r="K501" s="3"/>
    </row>
    <row r="502" spans="11:11" ht="12.75" customHeight="1" x14ac:dyDescent="0.25">
      <c r="K502" s="3"/>
    </row>
    <row r="503" spans="11:11" ht="12.75" customHeight="1" x14ac:dyDescent="0.25">
      <c r="K503" s="3"/>
    </row>
    <row r="504" spans="11:11" ht="12.75" customHeight="1" x14ac:dyDescent="0.25">
      <c r="K504" s="3"/>
    </row>
    <row r="505" spans="11:11" ht="12.75" customHeight="1" x14ac:dyDescent="0.25">
      <c r="K505" s="3"/>
    </row>
    <row r="506" spans="11:11" ht="12.75" customHeight="1" x14ac:dyDescent="0.25">
      <c r="K506" s="3"/>
    </row>
    <row r="507" spans="11:11" ht="12.75" customHeight="1" x14ac:dyDescent="0.25">
      <c r="K507" s="3"/>
    </row>
    <row r="508" spans="11:11" ht="12.75" customHeight="1" x14ac:dyDescent="0.25">
      <c r="K508" s="3"/>
    </row>
    <row r="509" spans="11:11" ht="12.75" customHeight="1" x14ac:dyDescent="0.25">
      <c r="K509" s="3"/>
    </row>
    <row r="510" spans="11:11" ht="12.75" customHeight="1" x14ac:dyDescent="0.25">
      <c r="K510" s="3"/>
    </row>
    <row r="511" spans="11:11" ht="12.75" customHeight="1" x14ac:dyDescent="0.25">
      <c r="K511" s="3"/>
    </row>
    <row r="512" spans="11:11" ht="12.75" customHeight="1" x14ac:dyDescent="0.25">
      <c r="K512" s="3"/>
    </row>
    <row r="513" spans="11:11" ht="12.75" customHeight="1" x14ac:dyDescent="0.25">
      <c r="K513" s="3"/>
    </row>
    <row r="514" spans="11:11" ht="12.75" customHeight="1" x14ac:dyDescent="0.25">
      <c r="K514" s="3"/>
    </row>
    <row r="515" spans="11:11" ht="12.75" customHeight="1" x14ac:dyDescent="0.25">
      <c r="K515" s="3"/>
    </row>
    <row r="516" spans="11:11" ht="12.75" customHeight="1" x14ac:dyDescent="0.25">
      <c r="K516" s="3"/>
    </row>
    <row r="517" spans="11:11" ht="12.75" customHeight="1" x14ac:dyDescent="0.25">
      <c r="K517" s="3"/>
    </row>
    <row r="518" spans="11:11" ht="12.75" customHeight="1" x14ac:dyDescent="0.25">
      <c r="K518" s="3"/>
    </row>
    <row r="519" spans="11:11" ht="12.75" customHeight="1" x14ac:dyDescent="0.25">
      <c r="K519" s="3"/>
    </row>
    <row r="520" spans="11:11" ht="12.75" customHeight="1" x14ac:dyDescent="0.25">
      <c r="K520" s="3"/>
    </row>
    <row r="521" spans="11:11" ht="12.75" customHeight="1" x14ac:dyDescent="0.25">
      <c r="K521" s="3"/>
    </row>
    <row r="522" spans="11:11" ht="12.75" customHeight="1" x14ac:dyDescent="0.25">
      <c r="K522" s="3"/>
    </row>
    <row r="523" spans="11:11" ht="12.75" customHeight="1" x14ac:dyDescent="0.25">
      <c r="K523" s="3"/>
    </row>
    <row r="524" spans="11:11" ht="12.75" customHeight="1" x14ac:dyDescent="0.25">
      <c r="K524" s="3"/>
    </row>
    <row r="525" spans="11:11" ht="12.75" customHeight="1" x14ac:dyDescent="0.25">
      <c r="K525" s="3"/>
    </row>
    <row r="526" spans="11:11" ht="12.75" customHeight="1" x14ac:dyDescent="0.25">
      <c r="K526" s="3"/>
    </row>
    <row r="527" spans="11:11" ht="12.75" customHeight="1" x14ac:dyDescent="0.25">
      <c r="K527" s="3"/>
    </row>
    <row r="528" spans="11:11" ht="12.75" customHeight="1" x14ac:dyDescent="0.25">
      <c r="K528" s="3"/>
    </row>
    <row r="529" spans="11:11" ht="12.75" customHeight="1" x14ac:dyDescent="0.25">
      <c r="K529" s="3"/>
    </row>
    <row r="530" spans="11:11" ht="12.75" customHeight="1" x14ac:dyDescent="0.25">
      <c r="K530" s="3"/>
    </row>
    <row r="531" spans="11:11" ht="12.75" customHeight="1" x14ac:dyDescent="0.25">
      <c r="K531" s="3"/>
    </row>
    <row r="532" spans="11:11" ht="12.75" customHeight="1" x14ac:dyDescent="0.25">
      <c r="K532" s="3"/>
    </row>
    <row r="533" spans="11:11" ht="12.75" customHeight="1" x14ac:dyDescent="0.25">
      <c r="K533" s="3"/>
    </row>
    <row r="534" spans="11:11" ht="12.75" customHeight="1" x14ac:dyDescent="0.25">
      <c r="K534" s="3"/>
    </row>
    <row r="535" spans="11:11" ht="12.75" customHeight="1" x14ac:dyDescent="0.25">
      <c r="K535" s="3"/>
    </row>
    <row r="536" spans="11:11" ht="12.75" customHeight="1" x14ac:dyDescent="0.25">
      <c r="K536" s="3"/>
    </row>
    <row r="537" spans="11:11" ht="12.75" customHeight="1" x14ac:dyDescent="0.25">
      <c r="K537" s="3"/>
    </row>
    <row r="538" spans="11:11" ht="12.75" customHeight="1" x14ac:dyDescent="0.25">
      <c r="K538" s="3"/>
    </row>
    <row r="539" spans="11:11" ht="12.75" customHeight="1" x14ac:dyDescent="0.25">
      <c r="K539" s="3"/>
    </row>
    <row r="540" spans="11:11" ht="12.75" customHeight="1" x14ac:dyDescent="0.25">
      <c r="K540" s="3"/>
    </row>
    <row r="541" spans="11:11" ht="12.75" customHeight="1" x14ac:dyDescent="0.25">
      <c r="K541" s="3"/>
    </row>
    <row r="542" spans="11:11" ht="12.75" customHeight="1" x14ac:dyDescent="0.25">
      <c r="K542" s="3"/>
    </row>
    <row r="543" spans="11:11" ht="12.75" customHeight="1" x14ac:dyDescent="0.25">
      <c r="K543" s="3"/>
    </row>
    <row r="544" spans="11:11" ht="12.75" customHeight="1" x14ac:dyDescent="0.25">
      <c r="K544" s="3"/>
    </row>
    <row r="545" spans="11:11" ht="12.75" customHeight="1" x14ac:dyDescent="0.25">
      <c r="K545" s="3"/>
    </row>
    <row r="546" spans="11:11" ht="12.75" customHeight="1" x14ac:dyDescent="0.25">
      <c r="K546" s="3"/>
    </row>
    <row r="547" spans="11:11" ht="12.75" customHeight="1" x14ac:dyDescent="0.25">
      <c r="K547" s="3"/>
    </row>
    <row r="548" spans="11:11" ht="12.75" customHeight="1" x14ac:dyDescent="0.25">
      <c r="K548" s="3"/>
    </row>
    <row r="549" spans="11:11" ht="12.75" customHeight="1" x14ac:dyDescent="0.25">
      <c r="K549" s="3"/>
    </row>
    <row r="550" spans="11:11" ht="12.75" customHeight="1" x14ac:dyDescent="0.25">
      <c r="K550" s="3"/>
    </row>
    <row r="551" spans="11:11" ht="12.75" customHeight="1" x14ac:dyDescent="0.25">
      <c r="K551" s="3"/>
    </row>
    <row r="552" spans="11:11" ht="12.75" customHeight="1" x14ac:dyDescent="0.25">
      <c r="K552" s="3"/>
    </row>
    <row r="553" spans="11:11" ht="12.75" customHeight="1" x14ac:dyDescent="0.25">
      <c r="K553" s="3"/>
    </row>
    <row r="554" spans="11:11" ht="12.75" customHeight="1" x14ac:dyDescent="0.25">
      <c r="K554" s="3"/>
    </row>
    <row r="555" spans="11:11" ht="12.75" customHeight="1" x14ac:dyDescent="0.25">
      <c r="K555" s="3"/>
    </row>
    <row r="556" spans="11:11" ht="12.75" customHeight="1" x14ac:dyDescent="0.25">
      <c r="K556" s="3"/>
    </row>
    <row r="557" spans="11:11" ht="12.75" customHeight="1" x14ac:dyDescent="0.25">
      <c r="K557" s="3"/>
    </row>
    <row r="558" spans="11:11" ht="12.75" customHeight="1" x14ac:dyDescent="0.25">
      <c r="K558" s="3"/>
    </row>
    <row r="559" spans="11:11" ht="12.75" customHeight="1" x14ac:dyDescent="0.25">
      <c r="K559" s="3"/>
    </row>
    <row r="560" spans="11:11" ht="12.75" customHeight="1" x14ac:dyDescent="0.25">
      <c r="K560" s="3"/>
    </row>
    <row r="561" spans="11:11" ht="12.75" customHeight="1" x14ac:dyDescent="0.25">
      <c r="K561" s="3"/>
    </row>
    <row r="562" spans="11:11" ht="12.75" customHeight="1" x14ac:dyDescent="0.25">
      <c r="K562" s="3"/>
    </row>
    <row r="563" spans="11:11" ht="12.75" customHeight="1" x14ac:dyDescent="0.25">
      <c r="K563" s="3"/>
    </row>
    <row r="564" spans="11:11" ht="12.75" customHeight="1" x14ac:dyDescent="0.25">
      <c r="K564" s="3"/>
    </row>
    <row r="565" spans="11:11" ht="12.75" customHeight="1" x14ac:dyDescent="0.25">
      <c r="K565" s="3"/>
    </row>
    <row r="566" spans="11:11" ht="12.75" customHeight="1" x14ac:dyDescent="0.25">
      <c r="K566" s="3"/>
    </row>
  </sheetData>
  <mergeCells count="21">
    <mergeCell ref="A1:K1"/>
    <mergeCell ref="A3:K3"/>
    <mergeCell ref="B4:H4"/>
    <mergeCell ref="B5:H5"/>
    <mergeCell ref="B6:H6"/>
    <mergeCell ref="B7:H7"/>
    <mergeCell ref="B8:H8"/>
    <mergeCell ref="B17:J17"/>
    <mergeCell ref="B18:J18"/>
    <mergeCell ref="B19:J19"/>
    <mergeCell ref="B20:J20"/>
    <mergeCell ref="B22:J22"/>
    <mergeCell ref="B23:J23"/>
    <mergeCell ref="O24:P24"/>
    <mergeCell ref="B9:H9"/>
    <mergeCell ref="B10:H10"/>
    <mergeCell ref="I11:J11"/>
    <mergeCell ref="A13:K13"/>
    <mergeCell ref="B14:J14"/>
    <mergeCell ref="B15:J15"/>
    <mergeCell ref="B16:J16"/>
  </mergeCells>
  <pageMargins left="0.39000000000000007" right="0.39000000000000007" top="0.87" bottom="0.59" header="0" footer="0"/>
  <pageSetup paperSize="9" orientation="landscape"/>
  <headerFooter>
    <oddFooter>&amp;LSheet: &amp;A File: &amp;F&amp;CVersion:  Date: &amp;R&amp;P of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640625" defaultRowHeight="15" customHeight="1" x14ac:dyDescent="0.25"/>
  <cols>
    <col min="1" max="1" width="21.33203125" customWidth="1"/>
    <col min="2" max="2" width="28.6640625" customWidth="1"/>
    <col min="3" max="3" width="7.109375" customWidth="1"/>
    <col min="4" max="4" width="69.33203125" customWidth="1"/>
    <col min="5" max="26" width="8.77734375" customWidth="1"/>
  </cols>
  <sheetData>
    <row r="1" ht="12.75" customHeight="1" x14ac:dyDescent="0.25"/>
    <row r="2" ht="12.75" customHeight="1" x14ac:dyDescent="0.25"/>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12.75" customHeight="1" x14ac:dyDescent="0.25"/>
    <row r="11" ht="12.75" customHeight="1" x14ac:dyDescent="0.25"/>
    <row r="12" ht="12.75" customHeight="1" x14ac:dyDescent="0.25"/>
    <row r="13" ht="12.75" customHeight="1" x14ac:dyDescent="0.25"/>
    <row r="14" ht="12.75" customHeight="1" x14ac:dyDescent="0.25"/>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39000000000000007" right="0.39000000000000007" top="0.87" bottom="0.59" header="0" footer="0"/>
  <pageSetup paperSize="9" orientation="landscape"/>
  <headerFooter>
    <oddFooter>&amp;LSheet: &amp;A File: &amp;F&amp;CVersion:  Date: &amp;R&amp;P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CIS Marking Scheme Import</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Walsh</dc:creator>
  <cp:lastModifiedBy>Lidiane Dos Santos Orti</cp:lastModifiedBy>
  <dcterms:created xsi:type="dcterms:W3CDTF">2010-04-27T04:25:00Z</dcterms:created>
  <dcterms:modified xsi:type="dcterms:W3CDTF">2025-08-21T19:20:48Z</dcterms:modified>
</cp:coreProperties>
</file>